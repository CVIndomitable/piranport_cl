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Pilangang\策划\附表\"/>
    </mc:Choice>
  </mc:AlternateContent>
  <xr:revisionPtr revIDLastSave="0" documentId="13_ncr:1_{73FF24CD-0DEB-41B0-8D43-5E15E1391B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舰R食物（可放置）" sheetId="1" r:id="rId1"/>
    <sheet name="物品食物" sheetId="2" r:id="rId2"/>
    <sheet name="食材和调料" sheetId="3" r:id="rId3"/>
    <sheet name="新增原版合成及标签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4" i="2" l="1"/>
  <c r="I27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6" i="2"/>
  <c r="I5" i="2"/>
  <c r="I4" i="2"/>
  <c r="I3" i="2"/>
  <c r="I60" i="1"/>
  <c r="I59" i="1"/>
  <c r="I12" i="1"/>
  <c r="I62" i="1"/>
  <c r="I61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29" i="1"/>
  <c r="I28" i="1"/>
  <c r="I27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tc={FA07A22D-976C-4DCA-8AC2-CBE964699E8A}</author>
    <author>tc={671D5E4D-D62A-4161-AD0E-D3F5A4E6674E}</author>
    <author>tc={ACB9C735-8379-488C-9851-C99B1CE49CBD}</author>
    <author>tc={73602826-8C0E-4848-9F10-D681212BB075}</author>
  </authors>
  <commentList>
    <comment ref="J2" authorId="0" shapeId="0" xr:uid="{FA07A22D-976C-4DCA-8AC2-CBE964699E8A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Buff时间需要加长</t>
        </r>
      </text>
    </comment>
    <comment ref="K2" authorId="1" shapeId="0" xr:uid="{671D5E4D-D62A-4161-AD0E-D3F5A4E6674E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大部分需要容器</t>
        </r>
      </text>
    </comment>
    <comment ref="N2" authorId="2" shapeId="0" xr:uid="{ACB9C735-8379-488C-9851-C99B1CE49CBD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需要更新大部分合成表到厨锅</t>
        </r>
      </text>
    </comment>
    <comment ref="U18" authorId="3" shapeId="0" xr:uid="{73602826-8C0E-4848-9F10-D681212BB075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马卡龙最主要的就是糖的喵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雪风</author>
    <author>tc={25B20358-C323-4479-BC30-AB8DB1BAEF26}</author>
    <author>tc={F526F023-53F6-4CF4-A04B-F41BA3DC64A0}</author>
    <author>tc={032EC598-026A-4CFD-84F4-EA17EB6B7979}</author>
    <author>tc={10A3C802-69F1-4D0B-B0C9-8292C435A6CE}</author>
  </authors>
  <commentList>
    <comment ref="N6" authorId="0" shapeId="0" xr:uid="{C0E3646D-E3BB-47BD-A25D-6D644D2EB385}">
      <text>
        <r>
          <rPr>
            <b/>
            <sz val="9"/>
            <color indexed="81"/>
            <rFont val="宋体"/>
            <family val="3"/>
            <charset val="134"/>
          </rPr>
          <t>雪风:</t>
        </r>
        <r>
          <rPr>
            <sz val="9"/>
            <color indexed="81"/>
            <rFont val="宋体"/>
            <family val="3"/>
            <charset val="134"/>
          </rPr>
          <t xml:space="preserve">
因为是茄汁黄豆嗒喵
</t>
        </r>
      </text>
    </comment>
    <comment ref="P9" authorId="1" shapeId="0" xr:uid="{25B20358-C323-4479-BC30-AB8DB1BAEF26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没有做这个</t>
        </r>
      </text>
    </comment>
    <comment ref="F19" authorId="2" shapeId="0" xr:uid="{F526F023-53F6-4CF4-A04B-F41BA3DC64A0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这几个果汁果酱不合并吧？</t>
        </r>
      </text>
    </comment>
    <comment ref="J19" authorId="3" shapeId="0" xr:uid="{032EC598-026A-4CFD-84F4-EA17EB6B7979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果汁果酱需要瓶装</t>
        </r>
      </text>
    </comment>
    <comment ref="M19" authorId="4" shapeId="0" xr:uid="{10A3C802-69F1-4D0B-B0C9-8292C435A6CE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果汁果酱需要瓶装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tc={B91953AD-31E9-4213-B691-334BE63E486C}</author>
    <author>tc={41BDCDAD-5901-46E0-A53D-9A2B7704EA95}</author>
    <author>tc={B98FEDE9-370E-4846-8CB2-D25CA4B47F76}</author>
  </authors>
  <commentList>
    <comment ref="D7" authorId="0" shapeId="0" xr:uid="{B91953AD-31E9-4213-B691-334BE63E486C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这玩意儿我注册的时候看成核桃了……</t>
        </r>
      </text>
    </comment>
    <comment ref="I13" authorId="1" shapeId="0" xr:uid="{41BDCDAD-5901-46E0-A53D-9A2B7704EA95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辣椒？没做</t>
        </r>
      </text>
    </comment>
    <comment ref="D28" authorId="2" shapeId="0" xr:uid="{B98FEDE9-370E-4846-8CB2-D25CA4B47F76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用砧板倍增的食材有哪些呢，写一写吧owo（不一定写在这一页，能吃的放到前面一页）</t>
        </r>
      </text>
    </comment>
  </commentList>
</comments>
</file>

<file path=xl/sharedStrings.xml><?xml version="1.0" encoding="utf-8"?>
<sst xmlns="http://schemas.openxmlformats.org/spreadsheetml/2006/main" count="1208" uniqueCount="508">
  <si>
    <t>完成实现</t>
    <phoneticPr fontId="1" type="noConversion"/>
  </si>
  <si>
    <t>命名空间ID</t>
    <phoneticPr fontId="1" type="noConversion"/>
  </si>
  <si>
    <t>中文名</t>
    <phoneticPr fontId="1" type="noConversion"/>
  </si>
  <si>
    <t>英文名</t>
    <phoneticPr fontId="1" type="noConversion"/>
  </si>
  <si>
    <t>无视上限</t>
    <phoneticPr fontId="1" type="noConversion"/>
  </si>
  <si>
    <t>饱食度</t>
    <phoneticPr fontId="1" type="noConversion"/>
  </si>
  <si>
    <t>饱和度</t>
    <phoneticPr fontId="1" type="noConversion"/>
  </si>
  <si>
    <t>BUFF</t>
    <phoneticPr fontId="1" type="noConversion"/>
  </si>
  <si>
    <t>容器</t>
    <phoneticPr fontId="1" type="noConversion"/>
  </si>
  <si>
    <t>喂狗</t>
    <phoneticPr fontId="1" type="noConversion"/>
  </si>
  <si>
    <t>方块属性</t>
    <phoneticPr fontId="1" type="noConversion"/>
  </si>
  <si>
    <t>食用次数</t>
    <phoneticPr fontId="1" type="noConversion"/>
  </si>
  <si>
    <t>方法</t>
    <phoneticPr fontId="1" type="noConversion"/>
  </si>
  <si>
    <t>合成</t>
    <phoneticPr fontId="1" type="noConversion"/>
  </si>
  <si>
    <t>耗时</t>
    <phoneticPr fontId="1" type="noConversion"/>
  </si>
  <si>
    <t>耗水</t>
    <phoneticPr fontId="1" type="noConversion"/>
  </si>
  <si>
    <t>deluxe_baozi</t>
  </si>
  <si>
    <t>beet_blossom</t>
  </si>
  <si>
    <t>mapo_tofu</t>
  </si>
  <si>
    <t>tangyuan</t>
  </si>
  <si>
    <t>tarte_tatin</t>
  </si>
  <si>
    <t>macaron</t>
  </si>
  <si>
    <t>rye_bread</t>
  </si>
  <si>
    <t>okroshka</t>
  </si>
  <si>
    <t>borscht</t>
  </si>
  <si>
    <t>kvass</t>
  </si>
  <si>
    <t>royal_naval_salted_beef</t>
  </si>
  <si>
    <t>black_tea_sandwich</t>
  </si>
  <si>
    <t>black_tea_scone</t>
  </si>
  <si>
    <t>american_burger</t>
  </si>
  <si>
    <t>eggs_benedict</t>
  </si>
  <si>
    <t>hotdog</t>
  </si>
  <si>
    <t>barbecue</t>
  </si>
  <si>
    <t>apple_pie</t>
  </si>
  <si>
    <t>torpedo_juice</t>
  </si>
  <si>
    <t>salami_pizza</t>
  </si>
  <si>
    <t>bolognese_linguine_recipe</t>
  </si>
  <si>
    <t>schweinshaxe</t>
  </si>
  <si>
    <t>pea_soup_with_rye_bread</t>
  </si>
  <si>
    <t>weisswurst_mit_der_bagel</t>
  </si>
  <si>
    <t>black_forest_gateau</t>
  </si>
  <si>
    <t>naval_curry</t>
  </si>
  <si>
    <t>yokan</t>
  </si>
  <si>
    <t>chicken_tatsuta</t>
  </si>
  <si>
    <t>fried_fish_miso_soup</t>
  </si>
  <si>
    <t>miso_soup</t>
  </si>
  <si>
    <t>tempura</t>
  </si>
  <si>
    <t>scone</t>
  </si>
  <si>
    <t>toast_bread</t>
  </si>
  <si>
    <t>naval_baked_beans</t>
  </si>
  <si>
    <t>surstromming</t>
  </si>
  <si>
    <t>latiao</t>
  </si>
  <si>
    <t>assorted_char_siu_fried_rice</t>
  </si>
  <si>
    <t>dongpo_pork</t>
  </si>
  <si>
    <t>bouillabaisse</t>
  </si>
  <si>
    <t>new_rye_bread</t>
  </si>
  <si>
    <t>russian_dumplings</t>
  </si>
  <si>
    <t>fried_fish_and_chips</t>
  </si>
  <si>
    <t>double_shell_american_burger</t>
  </si>
  <si>
    <t>triple_shell_american_burger</t>
  </si>
  <si>
    <t>salami_pizza_pieces</t>
  </si>
  <si>
    <t>mussolinis_oo</t>
  </si>
  <si>
    <t>thuringer_rostbratwurst_und_beer</t>
  </si>
  <si>
    <t>thuringer_rostbratwurst</t>
  </si>
  <si>
    <t>tempura_soba_noodles</t>
  </si>
  <si>
    <t>soba_noodles</t>
  </si>
  <si>
    <t>salted_egg_tofu</t>
  </si>
  <si>
    <t>yorkshire_pudding</t>
  </si>
  <si>
    <t>venice_cuttlefish_noodles</t>
  </si>
  <si>
    <t>吐司面包</t>
    <phoneticPr fontId="5" type="noConversion"/>
  </si>
  <si>
    <t>海军烘豆子</t>
    <phoneticPr fontId="5" type="noConversion"/>
  </si>
  <si>
    <t>鲱鱼罐头</t>
    <phoneticPr fontId="5" type="noConversion"/>
  </si>
  <si>
    <t>辣条</t>
    <phoneticPr fontId="5" type="noConversion"/>
  </si>
  <si>
    <t>什锦叉烧炒饭</t>
    <phoneticPr fontId="5" type="noConversion"/>
  </si>
  <si>
    <t>金镶玉包子</t>
    <phoneticPr fontId="5" type="noConversion"/>
  </si>
  <si>
    <t>甜豆花</t>
    <phoneticPr fontId="5" type="noConversion"/>
  </si>
  <si>
    <t>东坡肉</t>
    <phoneticPr fontId="5" type="noConversion"/>
  </si>
  <si>
    <t>麻婆豆腐</t>
    <phoneticPr fontId="5" type="noConversion"/>
  </si>
  <si>
    <t>汤圆</t>
    <phoneticPr fontId="5" type="noConversion"/>
  </si>
  <si>
    <t>马赛鱼汤</t>
    <phoneticPr fontId="5" type="noConversion"/>
  </si>
  <si>
    <t>塔坦苹果挞</t>
    <phoneticPr fontId="5" type="noConversion"/>
  </si>
  <si>
    <t>马卡龙</t>
    <phoneticPr fontId="5" type="noConversion"/>
  </si>
  <si>
    <t>黑列巴</t>
    <phoneticPr fontId="5" type="noConversion"/>
  </si>
  <si>
    <t>新制黑列巴</t>
    <phoneticPr fontId="3" type="noConversion"/>
  </si>
  <si>
    <t>俄式饺子</t>
    <phoneticPr fontId="5" type="noConversion"/>
  </si>
  <si>
    <t>俄式肉冻</t>
    <phoneticPr fontId="5" type="noConversion"/>
  </si>
  <si>
    <t>红菜汤</t>
    <phoneticPr fontId="5" type="noConversion"/>
  </si>
  <si>
    <t>格瓦斯</t>
    <phoneticPr fontId="5" type="noConversion"/>
  </si>
  <si>
    <t>皇家海军咸牛肉</t>
    <phoneticPr fontId="5" type="noConversion"/>
  </si>
  <si>
    <t>红茶三明治</t>
    <phoneticPr fontId="5" type="noConversion"/>
  </si>
  <si>
    <t>红茶司康饼</t>
    <phoneticPr fontId="5" type="noConversion"/>
  </si>
  <si>
    <t>炸鱼薯条</t>
    <phoneticPr fontId="5" type="noConversion"/>
  </si>
  <si>
    <t>美式汉堡</t>
    <phoneticPr fontId="5" type="noConversion"/>
  </si>
  <si>
    <t>双层美式汉堡</t>
    <phoneticPr fontId="3" type="noConversion"/>
  </si>
  <si>
    <t>三层美式汉堡</t>
    <phoneticPr fontId="3" type="noConversion"/>
  </si>
  <si>
    <t>班尼迪克蛋</t>
    <phoneticPr fontId="5" type="noConversion"/>
  </si>
  <si>
    <t>热狗</t>
    <phoneticPr fontId="5" type="noConversion"/>
  </si>
  <si>
    <t>烧烤</t>
    <phoneticPr fontId="5" type="noConversion"/>
  </si>
  <si>
    <t>苹果派</t>
    <phoneticPr fontId="5" type="noConversion"/>
  </si>
  <si>
    <t>鱼雷果汁</t>
    <phoneticPr fontId="5" type="noConversion"/>
  </si>
  <si>
    <t>萨拉米比萨</t>
    <phoneticPr fontId="5" type="noConversion"/>
  </si>
  <si>
    <t>切片萨拉米披萨</t>
    <phoneticPr fontId="3" type="noConversion"/>
  </si>
  <si>
    <t>番茄肉酱意面</t>
    <phoneticPr fontId="5" type="noConversion"/>
  </si>
  <si>
    <t>墨索里尼的OO</t>
    <phoneticPr fontId="5" type="noConversion"/>
  </si>
  <si>
    <t>图根林肠啤酒</t>
    <phoneticPr fontId="5" type="noConversion"/>
  </si>
  <si>
    <t>图根林肠</t>
    <phoneticPr fontId="3" type="noConversion"/>
  </si>
  <si>
    <t>烤猪肘</t>
    <phoneticPr fontId="5" type="noConversion"/>
  </si>
  <si>
    <t>黑麦面包扁豆汤</t>
    <phoneticPr fontId="5" type="noConversion"/>
  </si>
  <si>
    <t>白香肠面包圈</t>
    <phoneticPr fontId="5" type="noConversion"/>
  </si>
  <si>
    <t>黑森林蛋糕</t>
    <phoneticPr fontId="5" type="noConversion"/>
  </si>
  <si>
    <t>海军咖喱</t>
    <phoneticPr fontId="5" type="noConversion"/>
  </si>
  <si>
    <t>羊羹</t>
    <phoneticPr fontId="5" type="noConversion"/>
  </si>
  <si>
    <t>龙田烧</t>
    <phoneticPr fontId="5" type="noConversion"/>
  </si>
  <si>
    <t>烤鱼味噌汤</t>
    <phoneticPr fontId="5" type="noConversion"/>
  </si>
  <si>
    <t>天妇罗荞麦面</t>
    <phoneticPr fontId="5" type="noConversion"/>
  </si>
  <si>
    <t>味噌汤</t>
    <phoneticPr fontId="5" type="noConversion"/>
  </si>
  <si>
    <t>荞麦面</t>
    <phoneticPr fontId="5" type="noConversion"/>
  </si>
  <si>
    <t>炸鱼天妇罗</t>
    <phoneticPr fontId="3" type="noConversion"/>
  </si>
  <si>
    <t>咸蛋拌豆腐</t>
    <phoneticPr fontId="3" type="noConversion"/>
  </si>
  <si>
    <t>司康饼</t>
    <phoneticPr fontId="5" type="noConversion"/>
  </si>
  <si>
    <t>约克郡布丁</t>
  </si>
  <si>
    <t>威尼斯墨鱼面</t>
  </si>
  <si>
    <t>是</t>
    <phoneticPr fontId="1" type="noConversion"/>
  </si>
  <si>
    <t>否</t>
    <phoneticPr fontId="1" type="noConversion"/>
  </si>
  <si>
    <t>备注</t>
    <phoneticPr fontId="1" type="noConversion"/>
  </si>
  <si>
    <t>Toast Bread</t>
    <phoneticPr fontId="1" type="noConversion"/>
  </si>
  <si>
    <t>Naval Baked Beans</t>
    <phoneticPr fontId="1" type="noConversion"/>
  </si>
  <si>
    <t>Surstromming</t>
    <phoneticPr fontId="1" type="noConversion"/>
  </si>
  <si>
    <t>Latiao</t>
    <phoneticPr fontId="1" type="noConversion"/>
  </si>
  <si>
    <t>Deluxe Baozi</t>
    <phoneticPr fontId="1" type="noConversion"/>
  </si>
  <si>
    <t>Assorted Char Siu Fried Rice</t>
    <phoneticPr fontId="1" type="noConversion"/>
  </si>
  <si>
    <t>Beet Blossom</t>
    <phoneticPr fontId="1" type="noConversion"/>
  </si>
  <si>
    <t>Dongpo Pork</t>
    <phoneticPr fontId="1" type="noConversion"/>
  </si>
  <si>
    <t>Mapo Tofe</t>
    <phoneticPr fontId="1" type="noConversion"/>
  </si>
  <si>
    <t>Tangyuan</t>
    <phoneticPr fontId="1" type="noConversion"/>
  </si>
  <si>
    <t>Bouillabaisse</t>
    <phoneticPr fontId="1" type="noConversion"/>
  </si>
  <si>
    <t>Tarte Tatin</t>
    <phoneticPr fontId="1" type="noConversion"/>
  </si>
  <si>
    <t>Macaron</t>
    <phoneticPr fontId="1" type="noConversion"/>
  </si>
  <si>
    <t>Rye Bread</t>
    <phoneticPr fontId="1" type="noConversion"/>
  </si>
  <si>
    <t>New Rye Bread</t>
    <phoneticPr fontId="1" type="noConversion"/>
  </si>
  <si>
    <t>Russian Dumplings</t>
    <phoneticPr fontId="1" type="noConversion"/>
  </si>
  <si>
    <t>Okroshka</t>
    <phoneticPr fontId="1" type="noConversion"/>
  </si>
  <si>
    <t>Borscht</t>
    <phoneticPr fontId="1" type="noConversion"/>
  </si>
  <si>
    <t>Kvass</t>
    <phoneticPr fontId="1" type="noConversion"/>
  </si>
  <si>
    <t>Schweinshaxe</t>
  </si>
  <si>
    <t>Yokan</t>
  </si>
  <si>
    <t>Tempura</t>
  </si>
  <si>
    <t>Scone</t>
  </si>
  <si>
    <t>Royal Naval Salted Beef</t>
    <phoneticPr fontId="1" type="noConversion"/>
  </si>
  <si>
    <t>Thuringer Rostbratwurst Und Beer</t>
  </si>
  <si>
    <t>Black Tea Sandwich</t>
    <phoneticPr fontId="1" type="noConversion"/>
  </si>
  <si>
    <t>Salami Pizza Pieces</t>
  </si>
  <si>
    <t>Black Forest Gateau</t>
  </si>
  <si>
    <t>Black Tea Scone</t>
    <phoneticPr fontId="1" type="noConversion"/>
  </si>
  <si>
    <t>Fried Fish_And Chips</t>
  </si>
  <si>
    <t>Weisswurst Mit_Der Bagel</t>
  </si>
  <si>
    <t>Tempura Soba Noodles</t>
  </si>
  <si>
    <t>Venice Cuttlefish Noodles</t>
  </si>
  <si>
    <t>Hotdog</t>
    <phoneticPr fontId="1" type="noConversion"/>
  </si>
  <si>
    <t>Barbecue</t>
    <phoneticPr fontId="1" type="noConversion"/>
  </si>
  <si>
    <t>Apple Pie</t>
    <phoneticPr fontId="1" type="noConversion"/>
  </si>
  <si>
    <t>American Burger</t>
  </si>
  <si>
    <t>Eggs Benedict</t>
  </si>
  <si>
    <t>Torpedo Juice</t>
  </si>
  <si>
    <t>Salami Pizza</t>
  </si>
  <si>
    <t>Thuringer Rostbratwurst</t>
  </si>
  <si>
    <t>Naval Curry</t>
  </si>
  <si>
    <t>Chicken Tatsuta</t>
  </si>
  <si>
    <t>Miso Soup</t>
  </si>
  <si>
    <t>Soba Noodles</t>
  </si>
  <si>
    <t>Yorkshire Pudding</t>
  </si>
  <si>
    <t>Double Shell American Burger</t>
    <phoneticPr fontId="1" type="noConversion"/>
  </si>
  <si>
    <t>Triple Shell American Burger</t>
    <phoneticPr fontId="1" type="noConversion"/>
  </si>
  <si>
    <t>Mussolini‘s OO</t>
    <phoneticPr fontId="1" type="noConversion"/>
  </si>
  <si>
    <t>Bolognese Linguine Recipe</t>
    <phoneticPr fontId="1" type="noConversion"/>
  </si>
  <si>
    <t>Fried Fish Miso Soup</t>
    <phoneticPr fontId="1" type="noConversion"/>
  </si>
  <si>
    <t>Pea Soup with Rye Bread</t>
    <phoneticPr fontId="1" type="noConversion"/>
  </si>
  <si>
    <t>Salted Egg with Tofu</t>
    <phoneticPr fontId="1" type="noConversion"/>
  </si>
  <si>
    <t>凋零II2秒反胃IV14秒力量II4分钟</t>
    <phoneticPr fontId="5" type="noConversion"/>
  </si>
  <si>
    <t>迅捷III1分30秒</t>
    <phoneticPr fontId="5" type="noConversion"/>
  </si>
  <si>
    <t>急迫I3分钟</t>
    <phoneticPr fontId="5" type="noConversion"/>
  </si>
  <si>
    <t>力量I水下呼吸I3分钟</t>
    <phoneticPr fontId="5" type="noConversion"/>
  </si>
  <si>
    <t>力量II生命恢复I2分钟</t>
    <phoneticPr fontId="5" type="noConversion"/>
  </si>
  <si>
    <t>力量II抗火I3分钟</t>
    <phoneticPr fontId="5" type="noConversion"/>
  </si>
  <si>
    <t>抗性提升I3分钟</t>
    <phoneticPr fontId="5" type="noConversion"/>
  </si>
  <si>
    <t>力量I30秒发光I1分钟</t>
    <phoneticPr fontId="5" type="noConversion"/>
  </si>
  <si>
    <t>饱和I20秒</t>
    <phoneticPr fontId="5" type="noConversion"/>
  </si>
  <si>
    <t>力量II1分45秒</t>
    <phoneticPr fontId="5" type="noConversion"/>
  </si>
  <si>
    <t>抗性提升II1分45秒</t>
    <phoneticPr fontId="5" type="noConversion"/>
  </si>
  <si>
    <t>力量IV3分钟</t>
    <phoneticPr fontId="3" type="noConversion"/>
  </si>
  <si>
    <t>缓慢I、缓降、隐身各2分钟</t>
    <phoneticPr fontId="3" type="noConversion"/>
  </si>
  <si>
    <t>生命提升I3分钟</t>
    <phoneticPr fontId="3" type="noConversion"/>
  </si>
  <si>
    <t>急迫I3分钟</t>
    <phoneticPr fontId="3" type="noConversion"/>
  </si>
  <si>
    <t>抗性提升I3分钟</t>
    <phoneticPr fontId="3" type="noConversion"/>
  </si>
  <si>
    <t>跳跃提升II3分钟</t>
    <phoneticPr fontId="3" type="noConversion"/>
  </si>
  <si>
    <t>急迫II3分钟</t>
    <phoneticPr fontId="3" type="noConversion"/>
  </si>
  <si>
    <t>急迫II5分钟</t>
    <phoneticPr fontId="3" type="noConversion"/>
  </si>
  <si>
    <t>急迫II8分钟</t>
    <phoneticPr fontId="3" type="noConversion"/>
  </si>
  <si>
    <t>抗性提升I2分钟</t>
    <phoneticPr fontId="3" type="noConversion"/>
  </si>
  <si>
    <t>防火5分钟</t>
    <phoneticPr fontId="3" type="noConversion"/>
  </si>
  <si>
    <t>急迫I5分钟</t>
    <phoneticPr fontId="3" type="noConversion"/>
  </si>
  <si>
    <t>饥饿II3分钟急迫III5分钟防火5分钟</t>
    <phoneticPr fontId="3" type="noConversion"/>
  </si>
  <si>
    <t>力量I16分钟</t>
    <phoneticPr fontId="3" type="noConversion"/>
  </si>
  <si>
    <t>力量I2分钟</t>
    <phoneticPr fontId="3" type="noConversion"/>
  </si>
  <si>
    <t>速度I3分钟</t>
    <phoneticPr fontId="3" type="noConversion"/>
  </si>
  <si>
    <t>抗性提升I30秒生命提升I30秒，30%概率反胃I30秒</t>
    <phoneticPr fontId="3" type="noConversion"/>
  </si>
  <si>
    <t>抗性提升I50秒</t>
    <phoneticPr fontId="3" type="noConversion"/>
  </si>
  <si>
    <t>速度II2分钟</t>
    <phoneticPr fontId="3" type="noConversion"/>
  </si>
  <si>
    <t>潮涌能量5分钟</t>
    <phoneticPr fontId="5" type="noConversion"/>
  </si>
  <si>
    <t>夜视I4分钟</t>
    <phoneticPr fontId="3" type="noConversion"/>
  </si>
  <si>
    <t>跳跃提升I3分钟</t>
    <phoneticPr fontId="3" type="noConversion"/>
  </si>
  <si>
    <t>急迫II2分钟</t>
    <phoneticPr fontId="3" type="noConversion"/>
  </si>
  <si>
    <t>力量II1分钟</t>
    <phoneticPr fontId="3" type="noConversion"/>
  </si>
  <si>
    <t>迅捷I20秒</t>
    <phoneticPr fontId="3" type="noConversion"/>
  </si>
  <si>
    <t>速度I2分钟</t>
    <phoneticPr fontId="3" type="noConversion"/>
  </si>
  <si>
    <t>碗</t>
    <phoneticPr fontId="1" type="noConversion"/>
  </si>
  <si>
    <t>玻璃瓶</t>
    <phoneticPr fontId="1" type="noConversion"/>
  </si>
  <si>
    <t>面包</t>
    <phoneticPr fontId="1" type="noConversion"/>
  </si>
  <si>
    <t>生猪排</t>
    <phoneticPr fontId="3" type="noConversion"/>
  </si>
  <si>
    <t>番茄</t>
    <phoneticPr fontId="3" type="noConversion"/>
  </si>
  <si>
    <t>大豆</t>
    <phoneticPr fontId="3" type="noConversion"/>
  </si>
  <si>
    <t>发酵鱼</t>
    <phoneticPr fontId="3" type="noConversion"/>
  </si>
  <si>
    <t>铁粒</t>
    <phoneticPr fontId="3" type="noConversion"/>
  </si>
  <si>
    <t>小麦</t>
    <phoneticPr fontId="3" type="noConversion"/>
  </si>
  <si>
    <t>辣椒粉</t>
    <phoneticPr fontId="3" type="noConversion"/>
  </si>
  <si>
    <t>糖</t>
    <phoneticPr fontId="3" type="noConversion"/>
  </si>
  <si>
    <t>鸡蛋</t>
    <phoneticPr fontId="3" type="noConversion"/>
  </si>
  <si>
    <t>肉糜</t>
    <phoneticPr fontId="3" type="noConversion"/>
  </si>
  <si>
    <t>盐</t>
    <phoneticPr fontId="3" type="noConversion"/>
  </si>
  <si>
    <t>油</t>
    <phoneticPr fontId="3" type="noConversion"/>
  </si>
  <si>
    <t>小麦粉</t>
    <phoneticPr fontId="3" type="noConversion"/>
  </si>
  <si>
    <t>石膏碎片</t>
    <phoneticPr fontId="3" type="noConversion"/>
  </si>
  <si>
    <t>豆浆</t>
    <phoneticPr fontId="3" type="noConversion"/>
  </si>
  <si>
    <t>木碗</t>
    <phoneticPr fontId="3" type="noConversion"/>
  </si>
  <si>
    <t>豆腐</t>
    <phoneticPr fontId="3" type="noConversion"/>
  </si>
  <si>
    <t>酱油</t>
    <phoneticPr fontId="3" type="noConversion"/>
  </si>
  <si>
    <t>洋葱</t>
    <phoneticPr fontId="3" type="noConversion"/>
  </si>
  <si>
    <t>大蒜</t>
    <phoneticPr fontId="3" type="noConversion"/>
  </si>
  <si>
    <t>生鱼</t>
    <phoneticPr fontId="3" type="noConversion"/>
  </si>
  <si>
    <t>碗</t>
    <phoneticPr fontId="3" type="noConversion"/>
  </si>
  <si>
    <t>鱼油</t>
    <phoneticPr fontId="3" type="noConversion"/>
  </si>
  <si>
    <t>烤馅饼酥皮</t>
    <phoneticPr fontId="3" type="noConversion"/>
  </si>
  <si>
    <t>苹果</t>
    <phoneticPr fontId="3" type="noConversion"/>
  </si>
  <si>
    <t>苹果酱</t>
    <phoneticPr fontId="3" type="noConversion"/>
  </si>
  <si>
    <t>杏仁粉</t>
    <phoneticPr fontId="3" type="noConversion"/>
  </si>
  <si>
    <t>任意染料</t>
    <phoneticPr fontId="3" type="noConversion"/>
  </si>
  <si>
    <t>黑麦</t>
    <phoneticPr fontId="3" type="noConversion"/>
  </si>
  <si>
    <t>面粉</t>
    <phoneticPr fontId="3" type="noConversion"/>
  </si>
  <si>
    <t>蘑菇</t>
    <phoneticPr fontId="3" type="noConversion"/>
  </si>
  <si>
    <t>牛肉饼</t>
    <phoneticPr fontId="3" type="noConversion"/>
  </si>
  <si>
    <t>羊肉</t>
    <phoneticPr fontId="3" type="noConversion"/>
  </si>
  <si>
    <t>猪肉</t>
    <phoneticPr fontId="3" type="noConversion"/>
  </si>
  <si>
    <t>水瓶</t>
    <phoneticPr fontId="3" type="noConversion"/>
  </si>
  <si>
    <t>鸡肉</t>
    <phoneticPr fontId="3" type="noConversion"/>
  </si>
  <si>
    <t>甜菜根</t>
    <phoneticPr fontId="3" type="noConversion"/>
  </si>
  <si>
    <t>格瓦斯</t>
    <phoneticPr fontId="3" type="noConversion"/>
  </si>
  <si>
    <t>白菜</t>
    <phoneticPr fontId="3" type="noConversion"/>
  </si>
  <si>
    <t>牛排</t>
    <phoneticPr fontId="3" type="noConversion"/>
  </si>
  <si>
    <t>熟猪排</t>
    <phoneticPr fontId="3" type="noConversion"/>
  </si>
  <si>
    <t>胡萝卜</t>
    <phoneticPr fontId="3" type="noConversion"/>
  </si>
  <si>
    <t>土豆</t>
    <phoneticPr fontId="3" type="noConversion"/>
  </si>
  <si>
    <t>红茶</t>
    <phoneticPr fontId="3" type="noConversion"/>
  </si>
  <si>
    <t>任意三明治</t>
    <phoneticPr fontId="3" type="noConversion"/>
  </si>
  <si>
    <t>司康饼</t>
    <phoneticPr fontId="3" type="noConversion"/>
  </si>
  <si>
    <t>生鳕鱼</t>
    <phoneticPr fontId="3" type="noConversion"/>
  </si>
  <si>
    <t>油*</t>
    <phoneticPr fontId="3" type="noConversion"/>
  </si>
  <si>
    <t>马铃薯</t>
    <phoneticPr fontId="3" type="noConversion"/>
  </si>
  <si>
    <t>黄油</t>
    <phoneticPr fontId="3" type="noConversion"/>
  </si>
  <si>
    <t>白蘑菇</t>
    <phoneticPr fontId="3" type="noConversion"/>
  </si>
  <si>
    <t>奶酪</t>
    <phoneticPr fontId="3" type="noConversion"/>
  </si>
  <si>
    <t>培根</t>
    <phoneticPr fontId="3" type="noConversion"/>
  </si>
  <si>
    <t>馅饼酥皮</t>
    <phoneticPr fontId="3" type="noConversion"/>
  </si>
  <si>
    <t>圆面包</t>
    <phoneticPr fontId="3" type="noConversion"/>
  </si>
  <si>
    <t>生菜</t>
    <phoneticPr fontId="3" type="noConversion"/>
  </si>
  <si>
    <t>吐司面包</t>
    <phoneticPr fontId="3" type="noConversion"/>
  </si>
  <si>
    <t>面包</t>
    <phoneticPr fontId="3" type="noConversion"/>
  </si>
  <si>
    <t>香肠</t>
    <phoneticPr fontId="3" type="noConversion"/>
  </si>
  <si>
    <t>苹果派胚</t>
    <phoneticPr fontId="3" type="noConversion"/>
  </si>
  <si>
    <t>mk14鱼雷</t>
    <phoneticPr fontId="3" type="noConversion"/>
  </si>
  <si>
    <t>菠萝汁</t>
    <phoneticPr fontId="3" type="noConversion"/>
  </si>
  <si>
    <t>萨拉米披萨胚</t>
    <phoneticPr fontId="3" type="noConversion"/>
  </si>
  <si>
    <t>萨拉米披萨</t>
    <phoneticPr fontId="3" type="noConversion"/>
  </si>
  <si>
    <t>意面</t>
    <phoneticPr fontId="3" type="noConversion"/>
  </si>
  <si>
    <t>番茄酱</t>
    <phoneticPr fontId="3" type="noConversion"/>
  </si>
  <si>
    <t>肉酱</t>
    <phoneticPr fontId="3" type="noConversion"/>
  </si>
  <si>
    <t>生猪肉或生牛肉</t>
    <phoneticPr fontId="3" type="noConversion"/>
  </si>
  <si>
    <t>白胡椒</t>
    <phoneticPr fontId="3" type="noConversion"/>
  </si>
  <si>
    <t>芹菜种子</t>
    <phoneticPr fontId="3" type="noConversion"/>
  </si>
  <si>
    <t>木炭</t>
    <phoneticPr fontId="3" type="noConversion"/>
  </si>
  <si>
    <t>黑麦面包</t>
    <phoneticPr fontId="3" type="noConversion"/>
  </si>
  <si>
    <t>扁豆汤</t>
    <phoneticPr fontId="3" type="noConversion"/>
  </si>
  <si>
    <t>面包圈</t>
    <phoneticPr fontId="3" type="noConversion"/>
  </si>
  <si>
    <t>咖喱粉</t>
    <phoneticPr fontId="3" type="noConversion"/>
  </si>
  <si>
    <t>米饭</t>
    <phoneticPr fontId="3" type="noConversion"/>
  </si>
  <si>
    <t>红豆</t>
    <phoneticPr fontId="3" type="noConversion"/>
  </si>
  <si>
    <t>水桶</t>
    <phoneticPr fontId="3" type="noConversion"/>
  </si>
  <si>
    <t>生鳕鱼或生鲑鱼</t>
    <phoneticPr fontId="3" type="noConversion"/>
  </si>
  <si>
    <t>牛奶桶</t>
    <phoneticPr fontId="3" type="noConversion"/>
  </si>
  <si>
    <t>墨囊</t>
    <phoneticPr fontId="3" type="noConversion"/>
  </si>
  <si>
    <t>合成数量</t>
    <phoneticPr fontId="1" type="noConversion"/>
  </si>
  <si>
    <t>Taptap冰激凌</t>
  </si>
  <si>
    <t>合味道</t>
    <phoneticPr fontId="1" type="noConversion"/>
  </si>
  <si>
    <t>幸运I5分钟抗火I2分钟</t>
    <phoneticPr fontId="3" type="noConversion"/>
  </si>
  <si>
    <t>生命提升II20分钟</t>
    <phoneticPr fontId="3" type="noConversion"/>
  </si>
  <si>
    <t>流浪商人或村民购买</t>
    <phoneticPr fontId="3" type="noConversion"/>
  </si>
  <si>
    <t>咸豆花</t>
    <phoneticPr fontId="1" type="noConversion"/>
  </si>
  <si>
    <t>海带</t>
    <phoneticPr fontId="3" type="noConversion"/>
  </si>
  <si>
    <t>否</t>
  </si>
  <si>
    <t>仰望星空派</t>
    <phoneticPr fontId="1" type="noConversion"/>
  </si>
  <si>
    <t>凋零II2秒反胃IV14秒急迫III40秒</t>
    <phoneticPr fontId="3" type="noConversion"/>
  </si>
  <si>
    <t>创造模式物品栏</t>
    <phoneticPr fontId="1" type="noConversion"/>
  </si>
  <si>
    <t>标签</t>
    <phoneticPr fontId="1" type="noConversion"/>
  </si>
  <si>
    <t>#feast</t>
    <phoneticPr fontId="1" type="noConversion"/>
  </si>
  <si>
    <t>舰娘食物</t>
    <phoneticPr fontId="1" type="noConversion"/>
  </si>
  <si>
    <t>鸡蛋三明治</t>
    <phoneticPr fontId="5" type="noConversion"/>
  </si>
  <si>
    <t>培根三明治</t>
    <phoneticPr fontId="3" type="noConversion"/>
  </si>
  <si>
    <t>piece_of_sausage</t>
    <phoneticPr fontId="3" type="noConversion"/>
  </si>
  <si>
    <t>cheese</t>
    <phoneticPr fontId="3" type="noConversion"/>
  </si>
  <si>
    <t>fermentated_fish</t>
    <phoneticPr fontId="3" type="noConversion"/>
  </si>
  <si>
    <t>beans_can</t>
    <phoneticPr fontId="3" type="noConversion"/>
  </si>
  <si>
    <t>beer</t>
    <phoneticPr fontId="3" type="noConversion"/>
  </si>
  <si>
    <t>catchup</t>
    <phoneticPr fontId="3" type="noConversion"/>
  </si>
  <si>
    <t>bolognese</t>
    <phoneticPr fontId="3" type="noConversion"/>
  </si>
  <si>
    <t>pasta</t>
    <phoneticPr fontId="3" type="noConversion"/>
  </si>
  <si>
    <t>bagel</t>
    <phoneticPr fontId="3" type="noConversion"/>
  </si>
  <si>
    <t>lablab_soup</t>
    <phoneticPr fontId="3" type="noConversion"/>
  </si>
  <si>
    <t>cooked_rice</t>
    <phoneticPr fontId="3" type="noConversion"/>
  </si>
  <si>
    <t>tofu</t>
    <phoneticPr fontId="3" type="noConversion"/>
  </si>
  <si>
    <t>bacon</t>
    <phoneticPr fontId="3" type="noConversion"/>
  </si>
  <si>
    <t>bun</t>
    <phoneticPr fontId="3" type="noConversion"/>
  </si>
  <si>
    <t>soybean_milk</t>
    <phoneticPr fontId="3" type="noConversion"/>
  </si>
  <si>
    <t>roast_pastry_of_pie</t>
    <phoneticPr fontId="3" type="noConversion"/>
  </si>
  <si>
    <t>apple_juice</t>
    <phoneticPr fontId="3" type="noConversion"/>
  </si>
  <si>
    <t>apple_jam</t>
    <phoneticPr fontId="3" type="noConversion"/>
  </si>
  <si>
    <t>watermelon_juice</t>
    <phoneticPr fontId="3" type="noConversion"/>
  </si>
  <si>
    <t>watermelon_jam</t>
    <phoneticPr fontId="3" type="noConversion"/>
  </si>
  <si>
    <t>pineapple_juice</t>
    <phoneticPr fontId="3" type="noConversion"/>
  </si>
  <si>
    <t>pineapple_jam</t>
    <phoneticPr fontId="3" type="noConversion"/>
  </si>
  <si>
    <t>chorus_fruit_jam</t>
    <phoneticPr fontId="3" type="noConversion"/>
  </si>
  <si>
    <t>切片香肠</t>
    <phoneticPr fontId="3" type="noConversion"/>
  </si>
  <si>
    <t>豆子罐头</t>
    <phoneticPr fontId="3" type="noConversion"/>
  </si>
  <si>
    <t>啤酒</t>
    <phoneticPr fontId="3" type="noConversion"/>
  </si>
  <si>
    <t>苹果汁</t>
    <phoneticPr fontId="3" type="noConversion"/>
  </si>
  <si>
    <t>西瓜汁</t>
    <phoneticPr fontId="3" type="noConversion"/>
  </si>
  <si>
    <t>西瓜酱</t>
    <phoneticPr fontId="3" type="noConversion"/>
  </si>
  <si>
    <t>菠萝酱</t>
    <phoneticPr fontId="3" type="noConversion"/>
  </si>
  <si>
    <t>紫颂果酱</t>
    <phoneticPr fontId="3" type="noConversion"/>
  </si>
  <si>
    <t>pineapple</t>
    <phoneticPr fontId="3" type="noConversion"/>
  </si>
  <si>
    <t>菠萝</t>
    <phoneticPr fontId="3" type="noConversion"/>
  </si>
  <si>
    <t>tomato</t>
    <phoneticPr fontId="3" type="noConversion"/>
  </si>
  <si>
    <t>番茄</t>
    <phoneticPr fontId="5" type="noConversion"/>
  </si>
  <si>
    <t>lettuce</t>
    <phoneticPr fontId="3" type="noConversion"/>
  </si>
  <si>
    <t>生菜</t>
    <phoneticPr fontId="5" type="noConversion"/>
  </si>
  <si>
    <t>celery</t>
    <phoneticPr fontId="3" type="noConversion"/>
  </si>
  <si>
    <t>芹菜</t>
    <phoneticPr fontId="5" type="noConversion"/>
  </si>
  <si>
    <t>ormosia</t>
    <phoneticPr fontId="3" type="noConversion"/>
  </si>
  <si>
    <t>红豆</t>
    <phoneticPr fontId="5" type="noConversion"/>
  </si>
  <si>
    <t>lablab_bean</t>
    <phoneticPr fontId="3" type="noConversion"/>
  </si>
  <si>
    <t>扁豆</t>
    <phoneticPr fontId="5" type="noConversion"/>
  </si>
  <si>
    <t>peach</t>
    <phoneticPr fontId="3" type="noConversion"/>
  </si>
  <si>
    <t>桃子</t>
    <phoneticPr fontId="3" type="noConversion"/>
  </si>
  <si>
    <t>否</t>
    <phoneticPr fontId="1" type="noConversion"/>
  </si>
  <si>
    <t>种植</t>
    <phoneticPr fontId="1" type="noConversion"/>
  </si>
  <si>
    <t>舰娘食物</t>
    <phoneticPr fontId="1" type="noConversion"/>
  </si>
  <si>
    <t>#jam</t>
  </si>
  <si>
    <t>#jam</t>
    <phoneticPr fontId="1" type="noConversion"/>
  </si>
  <si>
    <t>#juice</t>
    <phoneticPr fontId="1" type="noConversion"/>
  </si>
  <si>
    <t>salt</t>
    <phoneticPr fontId="3" type="noConversion"/>
  </si>
  <si>
    <t>miso</t>
    <phoneticPr fontId="3" type="noConversion"/>
  </si>
  <si>
    <t>yeast</t>
    <phoneticPr fontId="3" type="noConversion"/>
  </si>
  <si>
    <t>milk_ice_cream</t>
    <phoneticPr fontId="3" type="noConversion"/>
  </si>
  <si>
    <t>walnut</t>
    <phoneticPr fontId="3" type="noConversion"/>
  </si>
  <si>
    <t>walnut_powder</t>
    <phoneticPr fontId="3" type="noConversion"/>
  </si>
  <si>
    <t>flour</t>
    <phoneticPr fontId="3" type="noConversion"/>
  </si>
  <si>
    <t>pie_crust</t>
    <phoneticPr fontId="3" type="noConversion"/>
  </si>
  <si>
    <t>embryo_of_apple_pie</t>
    <phoneticPr fontId="3" type="noConversion"/>
  </si>
  <si>
    <t>embryo_of_salami_pizza</t>
    <phoneticPr fontId="3" type="noConversion"/>
  </si>
  <si>
    <t>chili_powder</t>
    <phoneticPr fontId="3" type="noConversion"/>
  </si>
  <si>
    <t>pork_paste</t>
    <phoneticPr fontId="3" type="noConversion"/>
  </si>
  <si>
    <t>cream</t>
    <phoneticPr fontId="3" type="noConversion"/>
  </si>
  <si>
    <t>pizza_base</t>
    <phoneticPr fontId="3" type="noConversion"/>
  </si>
  <si>
    <t>black_pepper</t>
    <phoneticPr fontId="3" type="noConversion"/>
  </si>
  <si>
    <t>white_pepper</t>
    <phoneticPr fontId="3" type="noConversion"/>
  </si>
  <si>
    <t>raw_pasta</t>
    <phoneticPr fontId="3" type="noConversion"/>
  </si>
  <si>
    <t>butter</t>
    <phoneticPr fontId="3" type="noConversion"/>
  </si>
  <si>
    <t>rice_flour</t>
    <phoneticPr fontId="3" type="noConversion"/>
  </si>
  <si>
    <t>curry</t>
    <phoneticPr fontId="3" type="noConversion"/>
  </si>
  <si>
    <t>cooking_wine</t>
    <phoneticPr fontId="3" type="noConversion"/>
  </si>
  <si>
    <t>vinegar</t>
    <phoneticPr fontId="3" type="noConversion"/>
  </si>
  <si>
    <t>edible_oil</t>
    <phoneticPr fontId="3" type="noConversion"/>
  </si>
  <si>
    <t>味噌</t>
    <phoneticPr fontId="5" type="noConversion"/>
  </si>
  <si>
    <t>原料冰激凌</t>
    <phoneticPr fontId="3" type="noConversion"/>
  </si>
  <si>
    <t>桃核（或者扁桃）</t>
    <phoneticPr fontId="3" type="noConversion"/>
  </si>
  <si>
    <t>扁桃仁粉</t>
    <phoneticPr fontId="3" type="noConversion"/>
  </si>
  <si>
    <t>苹果派胚</t>
    <phoneticPr fontId="5" type="noConversion"/>
  </si>
  <si>
    <t>萨拉米比萨胚</t>
    <phoneticPr fontId="5" type="noConversion"/>
  </si>
  <si>
    <t>猪肉糜</t>
    <phoneticPr fontId="3" type="noConversion"/>
  </si>
  <si>
    <t>奶油</t>
    <phoneticPr fontId="3" type="noConversion"/>
  </si>
  <si>
    <t>披萨饼底</t>
    <phoneticPr fontId="3" type="noConversion"/>
  </si>
  <si>
    <t>黑胡椒</t>
    <phoneticPr fontId="3" type="noConversion"/>
  </si>
  <si>
    <t>生意面</t>
    <phoneticPr fontId="3" type="noConversion"/>
  </si>
  <si>
    <t>米</t>
    <phoneticPr fontId="3" type="noConversion"/>
  </si>
  <si>
    <t>米粉</t>
    <phoneticPr fontId="3" type="noConversion"/>
  </si>
  <si>
    <t>咖喱</t>
    <phoneticPr fontId="3" type="noConversion"/>
  </si>
  <si>
    <t>料酒</t>
    <phoneticPr fontId="3" type="noConversion"/>
  </si>
  <si>
    <t>醋</t>
    <phoneticPr fontId="5" type="noConversion"/>
  </si>
  <si>
    <t>食用油</t>
    <phoneticPr fontId="5" type="noConversion"/>
  </si>
  <si>
    <t>食物属性</t>
    <phoneticPr fontId="1" type="noConversion"/>
  </si>
  <si>
    <t>盐</t>
  </si>
  <si>
    <t>面粉</t>
  </si>
  <si>
    <t>披萨饼底</t>
  </si>
  <si>
    <t>酿造</t>
    <phoneticPr fontId="1" type="noConversion"/>
  </si>
  <si>
    <t>糖</t>
    <phoneticPr fontId="1" type="noConversion"/>
  </si>
  <si>
    <t>水瓶</t>
    <phoneticPr fontId="1" type="noConversion"/>
  </si>
  <si>
    <t>面粉</t>
    <phoneticPr fontId="1" type="noConversion"/>
  </si>
  <si>
    <t>面粉/米粉/糖</t>
    <phoneticPr fontId="1" type="noConversion"/>
  </si>
  <si>
    <t>水桶</t>
  </si>
  <si>
    <t>水桶</t>
    <phoneticPr fontId="1" type="noConversion"/>
  </si>
  <si>
    <t>奶桶</t>
    <phoneticPr fontId="1" type="noConversion"/>
  </si>
  <si>
    <t>桃子</t>
    <phoneticPr fontId="1" type="noConversion"/>
  </si>
  <si>
    <t>扁桃</t>
    <phoneticPr fontId="1" type="noConversion"/>
  </si>
  <si>
    <t>小麦</t>
    <phoneticPr fontId="1" type="noConversion"/>
  </si>
  <si>
    <t>食用油</t>
    <phoneticPr fontId="1" type="noConversion"/>
  </si>
  <si>
    <t>牛奶</t>
    <phoneticPr fontId="1" type="noConversion"/>
  </si>
  <si>
    <t>馅饼酥皮</t>
    <phoneticPr fontId="1" type="noConversion"/>
  </si>
  <si>
    <t>苹果</t>
    <phoneticPr fontId="1" type="noConversion"/>
  </si>
  <si>
    <t>切片萨拉米红肠</t>
  </si>
  <si>
    <t>奶酪</t>
  </si>
  <si>
    <t>白蘑菇</t>
  </si>
  <si>
    <t>洋葱</t>
  </si>
  <si>
    <t>辣椒</t>
  </si>
  <si>
    <t>辣椒</t>
    <phoneticPr fontId="1" type="noConversion"/>
  </si>
  <si>
    <t>盐</t>
    <phoneticPr fontId="1" type="noConversion"/>
  </si>
  <si>
    <t>生猪肉</t>
    <phoneticPr fontId="1" type="noConversion"/>
  </si>
  <si>
    <t>鸡蛋</t>
    <phoneticPr fontId="1" type="noConversion"/>
  </si>
  <si>
    <t>水桶或水瓶</t>
    <phoneticPr fontId="3" type="noConversion"/>
  </si>
  <si>
    <t>水桶或水瓶</t>
  </si>
  <si>
    <t>米</t>
    <phoneticPr fontId="1" type="noConversion"/>
  </si>
  <si>
    <t>姜</t>
  </si>
  <si>
    <t>大蒜</t>
  </si>
  <si>
    <t>油</t>
  </si>
  <si>
    <t>酱油</t>
    <phoneticPr fontId="1" type="noConversion"/>
  </si>
  <si>
    <t>soy_sauce</t>
    <phoneticPr fontId="1" type="noConversion"/>
  </si>
  <si>
    <t>大豆</t>
    <phoneticPr fontId="1" type="noConversion"/>
  </si>
  <si>
    <t>砧板</t>
    <phoneticPr fontId="1" type="noConversion"/>
  </si>
  <si>
    <t>香肠</t>
    <phoneticPr fontId="1" type="noConversion"/>
  </si>
  <si>
    <t>奶油</t>
    <phoneticPr fontId="1" type="noConversion"/>
  </si>
  <si>
    <t>生鱼或鲑鱼</t>
    <phoneticPr fontId="1" type="noConversion"/>
  </si>
  <si>
    <t>豆子</t>
    <phoneticPr fontId="3" type="noConversion"/>
  </si>
  <si>
    <t>铁锭</t>
    <phoneticPr fontId="3" type="noConversion"/>
  </si>
  <si>
    <t>醋</t>
    <phoneticPr fontId="3" type="noConversion"/>
  </si>
  <si>
    <t>熔炉/烟熏炉/营火/厨锅</t>
    <phoneticPr fontId="1" type="noConversion"/>
  </si>
  <si>
    <t>扁豆</t>
    <phoneticPr fontId="3" type="noConversion"/>
  </si>
  <si>
    <t>生石灰</t>
    <phoneticPr fontId="3" type="noConversion"/>
  </si>
  <si>
    <t>西瓜</t>
    <phoneticPr fontId="3" type="noConversion"/>
  </si>
  <si>
    <t>紫颂果</t>
    <phoneticPr fontId="3" type="noConversion"/>
  </si>
  <si>
    <t>菠萝</t>
    <phoneticPr fontId="1" type="noConversion"/>
  </si>
  <si>
    <t>玻璃瓶</t>
    <phoneticPr fontId="1" type="noConversion"/>
  </si>
  <si>
    <t>工作台</t>
    <phoneticPr fontId="1" type="noConversion"/>
  </si>
  <si>
    <t>minecraft:bread</t>
    <phoneticPr fontId="1" type="noConversion"/>
  </si>
  <si>
    <t>糖</t>
    <phoneticPr fontId="5" type="noConversion"/>
  </si>
  <si>
    <t>甜菜</t>
    <phoneticPr fontId="3" type="noConversion"/>
  </si>
  <si>
    <t>minecraft:sugar</t>
    <phoneticPr fontId="1" type="noConversion"/>
  </si>
  <si>
    <t>是</t>
    <phoneticPr fontId="1" type="noConversion"/>
  </si>
  <si>
    <t>冰</t>
    <phoneticPr fontId="3" type="noConversion"/>
  </si>
  <si>
    <t>否</t>
    <phoneticPr fontId="1" type="noConversion"/>
  </si>
  <si>
    <t>碗</t>
    <phoneticPr fontId="1" type="noConversion"/>
  </si>
  <si>
    <t>工作台无序合成</t>
    <phoneticPr fontId="1" type="noConversion"/>
  </si>
  <si>
    <t>大豆或生鱼或生鲑鱼</t>
    <phoneticPr fontId="1" type="noConversion"/>
  </si>
  <si>
    <t>酿造</t>
    <phoneticPr fontId="1" type="noConversion"/>
  </si>
  <si>
    <t>糯米</t>
    <phoneticPr fontId="1" type="noConversion"/>
  </si>
  <si>
    <t>酵母瓶</t>
  </si>
  <si>
    <t>酵母瓶</t>
    <phoneticPr fontId="1" type="noConversion"/>
  </si>
  <si>
    <t>酵母瓶</t>
    <phoneticPr fontId="1" type="noConversion"/>
  </si>
  <si>
    <t>酵母瓶</t>
    <phoneticPr fontId="3" type="noConversion"/>
  </si>
  <si>
    <t>工作台有序合成</t>
    <phoneticPr fontId="1" type="noConversion"/>
  </si>
  <si>
    <t>也可以用F4U冰激凌机携带原料冰淇淋制作</t>
    <phoneticPr fontId="1" type="noConversion"/>
  </si>
  <si>
    <t>玻璃瓶</t>
    <phoneticPr fontId="1" type="noConversion"/>
  </si>
  <si>
    <t>种植</t>
    <phoneticPr fontId="1" type="noConversion"/>
  </si>
  <si>
    <t>砧板</t>
    <phoneticPr fontId="1" type="noConversion"/>
  </si>
  <si>
    <t>辣椒</t>
    <phoneticPr fontId="1" type="noConversion"/>
  </si>
  <si>
    <t>食用后着火两秒</t>
    <phoneticPr fontId="1" type="noConversion"/>
  </si>
  <si>
    <t>石磨</t>
    <phoneticPr fontId="1" type="noConversion"/>
  </si>
  <si>
    <t>面包或圆面包或新制黑列巴</t>
    <phoneticPr fontId="3" type="noConversion"/>
  </si>
  <si>
    <t>厨锅</t>
    <phoneticPr fontId="1" type="noConversion"/>
  </si>
  <si>
    <t>生牛肉</t>
    <phoneticPr fontId="3" type="noConversion"/>
  </si>
  <si>
    <t>木桶</t>
    <phoneticPr fontId="3" type="noConversion"/>
  </si>
  <si>
    <t>生牛肉</t>
    <phoneticPr fontId="1" type="noConversion"/>
  </si>
  <si>
    <t>盐</t>
    <phoneticPr fontId="1" type="noConversion"/>
  </si>
  <si>
    <t>味噌汤</t>
    <phoneticPr fontId="1" type="noConversion"/>
  </si>
  <si>
    <t>熟鱼或熟鲑鱼</t>
    <phoneticPr fontId="1" type="noConversion"/>
  </si>
  <si>
    <t>面粉</t>
    <phoneticPr fontId="1" type="noConversion"/>
  </si>
  <si>
    <t>吐司面包片</t>
    <phoneticPr fontId="1" type="noConversion"/>
  </si>
  <si>
    <t>面包</t>
    <phoneticPr fontId="1" type="noConversion"/>
  </si>
  <si>
    <t>吐司面包片</t>
    <phoneticPr fontId="3" type="noConversion"/>
  </si>
  <si>
    <t>生鱼或生鲑鱼</t>
    <phoneticPr fontId="1" type="noConversion"/>
  </si>
  <si>
    <t>味噌</t>
    <phoneticPr fontId="1" type="noConversion"/>
  </si>
  <si>
    <t>酱油</t>
    <phoneticPr fontId="1" type="noConversion"/>
  </si>
  <si>
    <t>油</t>
    <phoneticPr fontId="1" type="noConversion"/>
  </si>
  <si>
    <t>大豆</t>
    <phoneticPr fontId="1" type="noConversion"/>
  </si>
  <si>
    <t>盐水</t>
    <phoneticPr fontId="1" type="noConversion"/>
  </si>
  <si>
    <t>水瓶</t>
    <phoneticPr fontId="1" type="noConversion"/>
  </si>
  <si>
    <t>厨锅</t>
    <phoneticPr fontId="1" type="noConversion"/>
  </si>
  <si>
    <t>水瓶或水桶</t>
    <phoneticPr fontId="1" type="noConversion"/>
  </si>
  <si>
    <t>迅捷I3分钟</t>
    <phoneticPr fontId="1" type="noConversion"/>
  </si>
  <si>
    <t>盘装皇家海军咸牛肉</t>
    <phoneticPr fontId="5" type="noConversion"/>
  </si>
  <si>
    <t>使用碗右键方块形式的皇家海军咸牛肉获得，共可以获得5份</t>
    <phoneticPr fontId="1" type="noConversion"/>
  </si>
  <si>
    <t>不能吃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</si>
</sst>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9"/>
      <name val="Tahoma"/>
      <family val="2"/>
      <charset val="134"/>
    </font>
    <font>
      <sz val="11"/>
      <color rgb="FF202122"/>
      <name val="等线"/>
      <family val="3"/>
      <charset val="134"/>
    </font>
    <font>
      <sz val="11"/>
      <color theme="1" tint="0.499984740745262"/>
      <name val="等线"/>
      <family val="2"/>
      <scheme val="minor"/>
    </font>
    <font>
      <sz val="1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Font="1"/>
    <xf numFmtId="0" fontId="11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李 安然" id="{67643DA9-77DB-43F5-B609-C3645AA6AD73}" userId="28fb710d495b6ffc" providerId="Windows Live"/>
  <person displayName="Deng Lehua" id="{36F43B30-187F-4DBB-B504-C1D03C2947F9}" userId="f3abe19e5520df1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2-07-30T17:06:01.44" personId="{36F43B30-187F-4DBB-B504-C1D03C2947F9}" id="{FA07A22D-976C-4DCA-8AC2-CBE964699E8A}">
    <text>Buff时间需要加长</text>
  </threadedComment>
  <threadedComment ref="K2" dT="2022-07-30T17:06:36.97" personId="{36F43B30-187F-4DBB-B504-C1D03C2947F9}" id="{671D5E4D-D62A-4161-AD0E-D3F5A4E6674E}">
    <text>大部分需要容器</text>
  </threadedComment>
  <threadedComment ref="N2" dT="2022-07-30T17:07:27.68" personId="{36F43B30-187F-4DBB-B504-C1D03C2947F9}" id="{ACB9C735-8379-488C-9851-C99B1CE49CBD}">
    <text>需要更新大部分合成表到厨锅</text>
  </threadedComment>
  <threadedComment ref="P11" dT="2021-09-02T03:06:11.58" personId="{67643DA9-77DB-43F5-B609-C3645AA6AD73}" id="{2422568D-EE60-4AB6-B3FB-70333C6C3C0A}">
    <text>想不到了...</text>
  </threadedComment>
  <threadedComment ref="O18" dT="2021-09-02T02:40:31.70" personId="{67643DA9-77DB-43F5-B609-C3645AA6AD73}" id="{6D0F3AD9-CF9A-4524-81C0-E8A023F47C55}">
    <text>马卡龙最主要的就是糖的喵</text>
  </threadedComment>
  <threadedComment ref="U18" dT="2021-09-02T02:40:31.70" personId="{67643DA9-77DB-43F5-B609-C3645AA6AD73}" id="{73602826-8C0E-4848-9F10-D681212BB075}">
    <text>马卡龙最主要的就是糖的喵</text>
  </threadedComment>
  <threadedComment ref="O22" dT="2021-09-02T03:09:42.34" personId="{67643DA9-77DB-43F5-B609-C3645AA6AD73}" id="{062C6B68-2957-4942-9B99-6DF4984FCAD6}">
    <text>存疑，是否需要先煮汤再冷冻</text>
  </threadedComment>
  <threadedComment ref="P29" dT="2022-07-31T03:00:58.87" personId="{36F43B30-187F-4DBB-B504-C1D03C2947F9}" id="{8E87D32A-6B82-44A7-9C0A-5B69CA256D6B}">
    <text>虾这原料没加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" dT="2022-07-31T04:19:53.37" personId="{36F43B30-187F-4DBB-B504-C1D03C2947F9}" id="{84B703CB-002A-45C5-86A3-A457F7B05F8A}">
    <text>这个应该用酿造台吗</text>
  </threadedComment>
  <threadedComment ref="P9" dT="2022-07-31T04:22:25.31" personId="{36F43B30-187F-4DBB-B504-C1D03C2947F9}" id="{25B20358-C323-4479-BC30-AB8DB1BAEF26}">
    <text>没有做这个</text>
  </threadedComment>
  <threadedComment ref="F19" dT="2022-07-31T03:59:07.46" personId="{36F43B30-187F-4DBB-B504-C1D03C2947F9}" id="{F526F023-53F6-4CF4-A04B-F41BA3DC64A0}">
    <text>这几个果汁果酱不合并吧？</text>
  </threadedComment>
  <threadedComment ref="J19" dT="2022-07-31T04:26:24.91" personId="{36F43B30-187F-4DBB-B504-C1D03C2947F9}" id="{032EC598-026A-4CFD-84F4-EA17EB6B7979}">
    <text>果汁果酱需要瓶装</text>
  </threadedComment>
  <threadedComment ref="M19" dT="2022-07-31T04:26:24.91" personId="{36F43B30-187F-4DBB-B504-C1D03C2947F9}" id="{10A3C802-69F1-4D0B-B0C9-8292C435A6CE}">
    <text>果汁果酱需要瓶装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2-07-31T04:17:36.36" personId="{36F43B30-187F-4DBB-B504-C1D03C2947F9}" id="{3EA5F498-48EC-4AF8-B7D6-72AE7D1C6392}">
    <text>现在这个是干嘛用的</text>
  </threadedComment>
  <threadedComment ref="I4" dT="2022-07-31T03:52:48.89" personId="{36F43B30-187F-4DBB-B504-C1D03C2947F9}" id="{E65D3049-B391-43F4-BDEF-01994F7315FF}">
    <text>不是鱼雷做乙醇吗？？而且乙醇删了</text>
  </threadedComment>
  <threadedComment ref="D9" dT="2022-07-31T03:54:15.20" personId="{36F43B30-187F-4DBB-B504-C1D03C2947F9}" id="{B91953AD-31E9-4213-B691-334BE63E486C}">
    <text>这玩意儿我注册的时候看成核桃了……</text>
  </threadedComment>
  <threadedComment ref="I15" dT="2022-07-31T03:55:31.27" personId="{36F43B30-187F-4DBB-B504-C1D03C2947F9}" id="{41BDCDAD-5901-46E0-A53D-9A2B7704EA95}">
    <text>辣椒？没做</text>
  </threadedComment>
  <threadedComment ref="I24" dT="2022-07-31T03:56:54.86" personId="{36F43B30-187F-4DBB-B504-C1D03C2947F9}" id="{3EB15D85-2EED-41AD-9EF9-C617651203A8}">
    <text>这谁写的合成表，要不要看看这几个材料我们有哪些</text>
  </threadedComment>
  <threadedComment ref="J25" dT="2022-07-31T03:51:05.12" personId="{36F43B30-187F-4DBB-B504-C1D03C2947F9}" id="{F5A1CC1B-B54B-4285-AE38-B9F5DE085582}">
    <text>没有乙醇了，而且勾兑料酒也太那啥了吧</text>
  </threadedComment>
  <threadedComment ref="D30" dT="2022-07-31T04:14:21.04" personId="{36F43B30-187F-4DBB-B504-C1D03C2947F9}" id="{B98FEDE9-370E-4846-8CB2-D25CA4B47F76}">
    <text>用砧板倍增的食材有哪些呢，写一写吧owo（不一定写在这一页，能吃的放到前面一页）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necraft.fandom.com/zh/wiki/%E6%BD%AE%E6%B6%8C%E8%83%BD%E9%87%8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tabSelected="1" topLeftCell="C49" zoomScale="85" zoomScaleNormal="85" workbookViewId="0">
      <selection activeCell="M56" sqref="M56"/>
    </sheetView>
  </sheetViews>
  <sheetFormatPr defaultRowHeight="14" x14ac:dyDescent="0.3"/>
  <cols>
    <col min="1" max="1" width="8.6640625" style="1" customWidth="1"/>
    <col min="2" max="2" width="27.83203125" style="1" customWidth="1"/>
    <col min="3" max="3" width="27.58203125" style="1" customWidth="1"/>
    <col min="4" max="4" width="13.75" style="1" customWidth="1"/>
    <col min="5" max="5" width="14" style="1" customWidth="1"/>
    <col min="6" max="6" width="13.75" style="1" customWidth="1"/>
    <col min="7" max="9" width="8.6640625" style="1" customWidth="1"/>
    <col min="10" max="10" width="27.6640625" style="1" customWidth="1"/>
    <col min="11" max="11" width="8" style="1" customWidth="1"/>
    <col min="12" max="13" width="8.6640625" style="1" customWidth="1"/>
    <col min="14" max="14" width="8.25" style="1" customWidth="1"/>
    <col min="15" max="15" width="11.5" style="1" customWidth="1"/>
    <col min="16" max="16" width="9.9140625" style="1" customWidth="1"/>
    <col min="17" max="26" width="8.6640625" style="1"/>
    <col min="27" max="27" width="20.58203125" style="1" customWidth="1"/>
    <col min="28" max="16384" width="8.6640625" style="1"/>
  </cols>
  <sheetData>
    <row r="1" spans="1:27" s="2" customFormat="1" x14ac:dyDescent="0.3">
      <c r="A1" s="18" t="s">
        <v>0</v>
      </c>
      <c r="B1" s="18" t="s">
        <v>1</v>
      </c>
      <c r="C1" s="18" t="s">
        <v>3</v>
      </c>
      <c r="D1" s="18" t="s">
        <v>2</v>
      </c>
      <c r="E1" s="18" t="s">
        <v>310</v>
      </c>
      <c r="F1" s="18" t="s">
        <v>311</v>
      </c>
      <c r="G1" s="18" t="s">
        <v>4</v>
      </c>
      <c r="H1" s="18" t="s">
        <v>407</v>
      </c>
      <c r="I1" s="18"/>
      <c r="J1" s="18"/>
      <c r="K1" s="18"/>
      <c r="L1" s="18"/>
      <c r="M1" s="2" t="s">
        <v>10</v>
      </c>
      <c r="N1" s="18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 t="s">
        <v>124</v>
      </c>
    </row>
    <row r="2" spans="1:27" s="2" customFormat="1" x14ac:dyDescent="0.3">
      <c r="A2" s="18"/>
      <c r="B2" s="18"/>
      <c r="C2" s="18"/>
      <c r="D2" s="18"/>
      <c r="E2" s="18"/>
      <c r="F2" s="18"/>
      <c r="G2" s="18"/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11</v>
      </c>
      <c r="N2" s="2" t="s">
        <v>12</v>
      </c>
      <c r="O2" s="2">
        <v>1</v>
      </c>
      <c r="P2" s="2">
        <v>2</v>
      </c>
      <c r="Q2" s="2">
        <v>3</v>
      </c>
      <c r="R2" s="2">
        <v>4</v>
      </c>
      <c r="S2" s="2">
        <v>5</v>
      </c>
      <c r="T2" s="2">
        <v>6</v>
      </c>
      <c r="U2" s="2">
        <v>7</v>
      </c>
      <c r="V2" s="2">
        <v>8</v>
      </c>
      <c r="W2" s="2">
        <v>9</v>
      </c>
      <c r="X2" s="2" t="s">
        <v>299</v>
      </c>
      <c r="Y2" s="2" t="s">
        <v>14</v>
      </c>
      <c r="Z2" s="2" t="s">
        <v>15</v>
      </c>
      <c r="AA2" s="18"/>
    </row>
    <row r="3" spans="1:27" s="3" customFormat="1" x14ac:dyDescent="0.3">
      <c r="D3" s="3" t="s">
        <v>300</v>
      </c>
      <c r="E3" s="3" t="s">
        <v>313</v>
      </c>
      <c r="F3" s="3" t="s">
        <v>312</v>
      </c>
      <c r="G3" s="3" t="s">
        <v>463</v>
      </c>
      <c r="H3" s="12">
        <v>1</v>
      </c>
      <c r="I3" s="3">
        <v>1</v>
      </c>
      <c r="J3" s="11" t="s">
        <v>302</v>
      </c>
      <c r="L3" s="3" t="s">
        <v>465</v>
      </c>
      <c r="M3" s="3">
        <v>1</v>
      </c>
      <c r="N3" t="s">
        <v>467</v>
      </c>
      <c r="O3" s="11" t="s">
        <v>464</v>
      </c>
      <c r="P3" s="11" t="s">
        <v>225</v>
      </c>
      <c r="Q3" s="11" t="s">
        <v>297</v>
      </c>
      <c r="X3" s="12">
        <v>1</v>
      </c>
      <c r="AA3" s="3" t="s">
        <v>476</v>
      </c>
    </row>
    <row r="4" spans="1:27" s="3" customFormat="1" x14ac:dyDescent="0.3">
      <c r="D4" s="3" t="s">
        <v>301</v>
      </c>
      <c r="E4" s="3" t="s">
        <v>313</v>
      </c>
      <c r="F4" s="3" t="s">
        <v>312</v>
      </c>
      <c r="G4" s="3" t="s">
        <v>463</v>
      </c>
      <c r="H4" s="12">
        <v>12</v>
      </c>
      <c r="I4" s="3">
        <v>16</v>
      </c>
      <c r="J4" s="11" t="s">
        <v>303</v>
      </c>
      <c r="L4" s="3" t="s">
        <v>465</v>
      </c>
      <c r="M4" s="3">
        <v>3</v>
      </c>
      <c r="O4" s="11"/>
      <c r="P4" s="11"/>
      <c r="Q4" s="11"/>
      <c r="X4" s="12"/>
      <c r="AA4" s="11" t="s">
        <v>304</v>
      </c>
    </row>
    <row r="5" spans="1:27" x14ac:dyDescent="0.3">
      <c r="B5" s="3" t="s">
        <v>48</v>
      </c>
      <c r="C5" s="3" t="s">
        <v>125</v>
      </c>
      <c r="D5" s="4" t="s">
        <v>69</v>
      </c>
      <c r="E5" s="3" t="s">
        <v>313</v>
      </c>
      <c r="F5" s="3" t="s">
        <v>312</v>
      </c>
      <c r="G5" s="6" t="s">
        <v>122</v>
      </c>
      <c r="H5">
        <v>15</v>
      </c>
      <c r="I5">
        <f t="shared" ref="I5:I62" si="0">ROUNDUP(H5*1.25,1)</f>
        <v>18.8</v>
      </c>
      <c r="J5"/>
      <c r="L5" s="7" t="s">
        <v>123</v>
      </c>
      <c r="M5" s="1">
        <v>3</v>
      </c>
      <c r="N5" s="1" t="s">
        <v>484</v>
      </c>
      <c r="O5" s="12" t="s">
        <v>414</v>
      </c>
      <c r="P5" s="12" t="s">
        <v>491</v>
      </c>
      <c r="Q5" s="12" t="s">
        <v>491</v>
      </c>
      <c r="R5" s="12" t="s">
        <v>473</v>
      </c>
      <c r="S5" s="12"/>
      <c r="T5" s="12"/>
      <c r="U5" s="12"/>
      <c r="V5" s="12"/>
      <c r="W5" s="12"/>
      <c r="X5" s="11">
        <v>1</v>
      </c>
    </row>
    <row r="6" spans="1:27" x14ac:dyDescent="0.3">
      <c r="B6" s="3" t="s">
        <v>49</v>
      </c>
      <c r="C6" s="3" t="s">
        <v>126</v>
      </c>
      <c r="D6" s="4" t="s">
        <v>70</v>
      </c>
      <c r="E6" s="3" t="s">
        <v>313</v>
      </c>
      <c r="F6" s="3" t="s">
        <v>312</v>
      </c>
      <c r="G6" s="6" t="s">
        <v>122</v>
      </c>
      <c r="H6">
        <v>4</v>
      </c>
      <c r="I6">
        <f t="shared" si="0"/>
        <v>5</v>
      </c>
      <c r="J6"/>
      <c r="L6" s="7" t="s">
        <v>123</v>
      </c>
      <c r="M6" s="1">
        <v>2</v>
      </c>
      <c r="N6" t="s">
        <v>484</v>
      </c>
      <c r="O6" s="11" t="s">
        <v>220</v>
      </c>
      <c r="P6" s="11" t="s">
        <v>220</v>
      </c>
      <c r="Q6" s="11" t="s">
        <v>220</v>
      </c>
      <c r="R6" s="11" t="s">
        <v>218</v>
      </c>
      <c r="S6" s="11" t="s">
        <v>219</v>
      </c>
      <c r="T6" s="12"/>
      <c r="U6" s="12"/>
      <c r="V6" s="12"/>
      <c r="W6" s="12"/>
      <c r="X6" s="11">
        <v>5</v>
      </c>
    </row>
    <row r="7" spans="1:27" x14ac:dyDescent="0.3">
      <c r="B7" s="3" t="s">
        <v>50</v>
      </c>
      <c r="C7" s="3" t="s">
        <v>127</v>
      </c>
      <c r="D7" s="4" t="s">
        <v>71</v>
      </c>
      <c r="E7" s="3" t="s">
        <v>313</v>
      </c>
      <c r="F7" s="3" t="s">
        <v>312</v>
      </c>
      <c r="G7" s="6" t="s">
        <v>122</v>
      </c>
      <c r="H7">
        <v>4</v>
      </c>
      <c r="I7">
        <f t="shared" si="0"/>
        <v>5</v>
      </c>
      <c r="J7" s="10" t="s">
        <v>178</v>
      </c>
      <c r="L7" s="7" t="s">
        <v>123</v>
      </c>
      <c r="M7" s="1">
        <v>2</v>
      </c>
      <c r="N7" t="s">
        <v>467</v>
      </c>
      <c r="O7" s="11" t="s">
        <v>221</v>
      </c>
      <c r="P7" s="11" t="s">
        <v>221</v>
      </c>
      <c r="Q7" s="11" t="s">
        <v>222</v>
      </c>
      <c r="R7" s="12"/>
      <c r="S7" s="12"/>
      <c r="T7" s="12"/>
      <c r="U7" s="12"/>
      <c r="V7" s="12"/>
      <c r="W7" s="12"/>
      <c r="X7" s="11">
        <v>1</v>
      </c>
    </row>
    <row r="8" spans="1:27" x14ac:dyDescent="0.3">
      <c r="B8" s="3" t="s">
        <v>51</v>
      </c>
      <c r="C8" s="3" t="s">
        <v>128</v>
      </c>
      <c r="D8" s="4" t="s">
        <v>72</v>
      </c>
      <c r="E8" s="3" t="s">
        <v>313</v>
      </c>
      <c r="F8" s="3" t="s">
        <v>312</v>
      </c>
      <c r="G8" s="6" t="s">
        <v>122</v>
      </c>
      <c r="H8">
        <v>2</v>
      </c>
      <c r="I8">
        <f t="shared" si="0"/>
        <v>2.5</v>
      </c>
      <c r="J8" s="10" t="s">
        <v>179</v>
      </c>
      <c r="L8" s="7" t="s">
        <v>123</v>
      </c>
      <c r="M8" s="1">
        <v>2</v>
      </c>
      <c r="N8" t="s">
        <v>484</v>
      </c>
      <c r="O8" s="11" t="s">
        <v>223</v>
      </c>
      <c r="P8" s="11" t="s">
        <v>224</v>
      </c>
      <c r="Q8" s="11" t="s">
        <v>225</v>
      </c>
      <c r="R8" s="12"/>
      <c r="S8" s="12"/>
      <c r="T8" s="12"/>
      <c r="U8" s="12"/>
      <c r="V8" s="12"/>
      <c r="W8" s="12"/>
      <c r="X8" s="11">
        <v>1</v>
      </c>
    </row>
    <row r="9" spans="1:27" x14ac:dyDescent="0.3">
      <c r="B9" s="3" t="s">
        <v>52</v>
      </c>
      <c r="C9" s="3" t="s">
        <v>130</v>
      </c>
      <c r="D9" s="4" t="s">
        <v>73</v>
      </c>
      <c r="E9" s="3" t="s">
        <v>313</v>
      </c>
      <c r="F9" s="3" t="s">
        <v>312</v>
      </c>
      <c r="G9" s="6" t="s">
        <v>122</v>
      </c>
      <c r="H9">
        <v>10</v>
      </c>
      <c r="I9">
        <f t="shared" si="0"/>
        <v>12.5</v>
      </c>
      <c r="J9" s="10" t="s">
        <v>504</v>
      </c>
      <c r="L9" s="7" t="s">
        <v>123</v>
      </c>
      <c r="M9" s="1">
        <v>2</v>
      </c>
      <c r="N9" t="s">
        <v>467</v>
      </c>
      <c r="O9" s="12"/>
      <c r="P9" s="12"/>
      <c r="Q9" s="12"/>
      <c r="R9" s="12"/>
      <c r="S9" s="12"/>
      <c r="T9" s="12"/>
      <c r="U9" s="12"/>
      <c r="V9" s="12"/>
      <c r="W9" s="12"/>
      <c r="X9" s="11"/>
    </row>
    <row r="10" spans="1:27" x14ac:dyDescent="0.3">
      <c r="B10" s="3" t="s">
        <v>16</v>
      </c>
      <c r="C10" s="3" t="s">
        <v>129</v>
      </c>
      <c r="D10" s="4" t="s">
        <v>74</v>
      </c>
      <c r="E10" s="3" t="s">
        <v>313</v>
      </c>
      <c r="F10" s="3" t="s">
        <v>312</v>
      </c>
      <c r="G10" s="6" t="s">
        <v>122</v>
      </c>
      <c r="H10">
        <v>10</v>
      </c>
      <c r="I10">
        <f t="shared" si="0"/>
        <v>12.5</v>
      </c>
      <c r="J10" s="10" t="s">
        <v>180</v>
      </c>
      <c r="L10" s="7" t="s">
        <v>123</v>
      </c>
      <c r="M10" s="1">
        <v>3</v>
      </c>
      <c r="N10" t="s">
        <v>484</v>
      </c>
      <c r="O10" s="11" t="s">
        <v>226</v>
      </c>
      <c r="P10" s="11" t="s">
        <v>227</v>
      </c>
      <c r="Q10" s="11" t="s">
        <v>228</v>
      </c>
      <c r="R10" s="11" t="s">
        <v>404</v>
      </c>
      <c r="S10" s="11" t="s">
        <v>229</v>
      </c>
      <c r="T10" s="11" t="s">
        <v>230</v>
      </c>
      <c r="U10" s="12"/>
      <c r="V10" s="12"/>
      <c r="W10" s="12"/>
      <c r="X10" s="11"/>
    </row>
    <row r="11" spans="1:27" x14ac:dyDescent="0.3">
      <c r="B11" s="3" t="s">
        <v>17</v>
      </c>
      <c r="C11" s="3" t="s">
        <v>131</v>
      </c>
      <c r="D11" s="4" t="s">
        <v>75</v>
      </c>
      <c r="E11" s="3" t="s">
        <v>313</v>
      </c>
      <c r="F11" s="3" t="s">
        <v>312</v>
      </c>
      <c r="G11" s="6" t="s">
        <v>122</v>
      </c>
      <c r="H11">
        <v>3</v>
      </c>
      <c r="I11">
        <f t="shared" si="0"/>
        <v>3.8000000000000003</v>
      </c>
      <c r="J11" s="10" t="s">
        <v>181</v>
      </c>
      <c r="K11" s="1" t="s">
        <v>215</v>
      </c>
      <c r="L11" s="7" t="s">
        <v>123</v>
      </c>
      <c r="M11" s="1">
        <v>1</v>
      </c>
      <c r="N11" t="s">
        <v>484</v>
      </c>
      <c r="O11" s="12"/>
      <c r="P11" s="12"/>
      <c r="Q11" s="12"/>
      <c r="R11" s="11" t="s">
        <v>231</v>
      </c>
      <c r="S11" s="11" t="s">
        <v>232</v>
      </c>
      <c r="T11" s="11" t="s">
        <v>225</v>
      </c>
      <c r="U11" s="11"/>
      <c r="V11" s="11" t="s">
        <v>233</v>
      </c>
      <c r="W11" s="12"/>
      <c r="X11" s="11">
        <v>1</v>
      </c>
    </row>
    <row r="12" spans="1:27" x14ac:dyDescent="0.3">
      <c r="B12" s="3"/>
      <c r="C12" s="3"/>
      <c r="D12" s="4" t="s">
        <v>305</v>
      </c>
      <c r="E12" s="3" t="s">
        <v>313</v>
      </c>
      <c r="F12" s="3" t="s">
        <v>312</v>
      </c>
      <c r="G12" s="6" t="s">
        <v>463</v>
      </c>
      <c r="H12">
        <v>3</v>
      </c>
      <c r="I12">
        <f t="shared" si="0"/>
        <v>3.8000000000000003</v>
      </c>
      <c r="J12" s="10" t="s">
        <v>181</v>
      </c>
      <c r="K12" s="1" t="s">
        <v>215</v>
      </c>
      <c r="L12" s="7" t="s">
        <v>123</v>
      </c>
      <c r="M12" s="1">
        <v>1</v>
      </c>
      <c r="N12" t="s">
        <v>484</v>
      </c>
      <c r="O12" s="12" t="s">
        <v>306</v>
      </c>
      <c r="P12" s="12"/>
      <c r="Q12" s="12"/>
      <c r="R12" s="13" t="s">
        <v>231</v>
      </c>
      <c r="S12" s="11" t="s">
        <v>232</v>
      </c>
      <c r="T12" s="11" t="s">
        <v>228</v>
      </c>
      <c r="U12" s="11"/>
      <c r="V12" s="11" t="s">
        <v>233</v>
      </c>
      <c r="W12" s="12"/>
      <c r="X12" s="11">
        <v>1</v>
      </c>
    </row>
    <row r="13" spans="1:27" x14ac:dyDescent="0.3">
      <c r="B13" s="3" t="s">
        <v>53</v>
      </c>
      <c r="C13" s="3" t="s">
        <v>132</v>
      </c>
      <c r="D13" s="4" t="s">
        <v>76</v>
      </c>
      <c r="E13" s="3" t="s">
        <v>313</v>
      </c>
      <c r="F13" s="3" t="s">
        <v>312</v>
      </c>
      <c r="G13" s="6" t="s">
        <v>122</v>
      </c>
      <c r="H13">
        <v>6</v>
      </c>
      <c r="I13">
        <f t="shared" si="0"/>
        <v>7.5</v>
      </c>
      <c r="J13" s="10" t="s">
        <v>182</v>
      </c>
      <c r="L13" s="7" t="s">
        <v>123</v>
      </c>
      <c r="M13" s="1">
        <v>3</v>
      </c>
      <c r="N13" t="s">
        <v>484</v>
      </c>
      <c r="O13" s="12"/>
      <c r="P13" s="12"/>
      <c r="Q13" s="12"/>
      <c r="R13" s="12"/>
      <c r="S13" s="12"/>
      <c r="T13" s="12"/>
      <c r="U13" s="12"/>
      <c r="V13" s="12"/>
      <c r="W13" s="12"/>
      <c r="X13" s="11">
        <v>1</v>
      </c>
    </row>
    <row r="14" spans="1:27" x14ac:dyDescent="0.3">
      <c r="B14" s="3" t="s">
        <v>18</v>
      </c>
      <c r="C14" s="3" t="s">
        <v>133</v>
      </c>
      <c r="D14" s="4" t="s">
        <v>77</v>
      </c>
      <c r="E14" s="3" t="s">
        <v>313</v>
      </c>
      <c r="F14" s="3" t="s">
        <v>312</v>
      </c>
      <c r="G14" s="6" t="s">
        <v>122</v>
      </c>
      <c r="H14">
        <v>4</v>
      </c>
      <c r="I14">
        <f t="shared" si="0"/>
        <v>5</v>
      </c>
      <c r="J14" s="10" t="s">
        <v>183</v>
      </c>
      <c r="L14" s="7" t="s">
        <v>123</v>
      </c>
      <c r="M14" s="1">
        <v>3</v>
      </c>
      <c r="N14" t="s">
        <v>484</v>
      </c>
      <c r="O14" s="11" t="s">
        <v>234</v>
      </c>
      <c r="P14" s="11" t="s">
        <v>234</v>
      </c>
      <c r="Q14" s="11" t="s">
        <v>227</v>
      </c>
      <c r="R14" s="11" t="s">
        <v>228</v>
      </c>
      <c r="S14" s="11" t="s">
        <v>224</v>
      </c>
      <c r="T14" s="11" t="s">
        <v>235</v>
      </c>
      <c r="U14" s="11" t="s">
        <v>225</v>
      </c>
      <c r="V14" s="12"/>
      <c r="W14" s="12"/>
      <c r="X14" s="11"/>
    </row>
    <row r="15" spans="1:27" x14ac:dyDescent="0.3">
      <c r="B15" s="3" t="s">
        <v>19</v>
      </c>
      <c r="C15" s="3" t="s">
        <v>134</v>
      </c>
      <c r="D15" s="4" t="s">
        <v>78</v>
      </c>
      <c r="E15" s="3" t="s">
        <v>313</v>
      </c>
      <c r="F15" s="3" t="s">
        <v>312</v>
      </c>
      <c r="G15" s="6" t="s">
        <v>122</v>
      </c>
      <c r="H15">
        <v>6</v>
      </c>
      <c r="I15">
        <f t="shared" si="0"/>
        <v>7.5</v>
      </c>
      <c r="J15" s="10"/>
      <c r="L15" s="7" t="s">
        <v>123</v>
      </c>
      <c r="M15" s="1">
        <v>3</v>
      </c>
      <c r="N15" t="s">
        <v>484</v>
      </c>
      <c r="O15" s="12"/>
      <c r="P15" s="12"/>
      <c r="Q15" s="12"/>
      <c r="R15" s="12"/>
      <c r="S15" s="12"/>
      <c r="T15" s="12"/>
      <c r="U15" s="12"/>
      <c r="V15" s="12"/>
      <c r="W15" s="12"/>
      <c r="X15" s="11">
        <v>2</v>
      </c>
    </row>
    <row r="16" spans="1:27" x14ac:dyDescent="0.3">
      <c r="B16" s="3" t="s">
        <v>54</v>
      </c>
      <c r="C16" s="3" t="s">
        <v>135</v>
      </c>
      <c r="D16" s="4" t="s">
        <v>79</v>
      </c>
      <c r="E16" s="3" t="s">
        <v>313</v>
      </c>
      <c r="F16" s="3" t="s">
        <v>312</v>
      </c>
      <c r="G16" s="6" t="s">
        <v>122</v>
      </c>
      <c r="H16">
        <v>7</v>
      </c>
      <c r="I16">
        <f t="shared" si="0"/>
        <v>8.7999999999999989</v>
      </c>
      <c r="J16"/>
      <c r="K16" s="1" t="s">
        <v>215</v>
      </c>
      <c r="L16" s="7" t="s">
        <v>123</v>
      </c>
      <c r="M16" s="1">
        <v>3</v>
      </c>
      <c r="N16" t="s">
        <v>484</v>
      </c>
      <c r="O16" s="11" t="s">
        <v>236</v>
      </c>
      <c r="P16" s="11" t="s">
        <v>237</v>
      </c>
      <c r="Q16" s="11" t="s">
        <v>219</v>
      </c>
      <c r="R16" s="11" t="s">
        <v>238</v>
      </c>
      <c r="S16" s="11" t="s">
        <v>239</v>
      </c>
      <c r="T16" s="11" t="s">
        <v>240</v>
      </c>
      <c r="U16" s="11"/>
      <c r="V16" s="11"/>
      <c r="W16" s="11"/>
      <c r="X16" s="11"/>
      <c r="Y16" s="11"/>
    </row>
    <row r="17" spans="2:27" x14ac:dyDescent="0.3">
      <c r="B17" s="3" t="s">
        <v>20</v>
      </c>
      <c r="C17" s="3" t="s">
        <v>136</v>
      </c>
      <c r="D17" s="4" t="s">
        <v>80</v>
      </c>
      <c r="E17" s="3" t="s">
        <v>313</v>
      </c>
      <c r="F17" s="3" t="s">
        <v>312</v>
      </c>
      <c r="G17" s="6" t="s">
        <v>122</v>
      </c>
      <c r="H17">
        <v>5</v>
      </c>
      <c r="I17">
        <f t="shared" si="0"/>
        <v>6.3</v>
      </c>
      <c r="J17" s="10" t="s">
        <v>184</v>
      </c>
      <c r="L17" s="7" t="s">
        <v>123</v>
      </c>
      <c r="M17" s="1">
        <v>2</v>
      </c>
      <c r="N17" t="s">
        <v>467</v>
      </c>
      <c r="O17" s="11" t="s">
        <v>241</v>
      </c>
      <c r="P17" s="11" t="s">
        <v>242</v>
      </c>
      <c r="Q17" s="11" t="s">
        <v>243</v>
      </c>
      <c r="R17" s="11"/>
      <c r="S17" s="11"/>
      <c r="T17" s="11"/>
      <c r="U17" s="11"/>
      <c r="V17" s="11"/>
      <c r="W17" s="11"/>
      <c r="X17" s="11">
        <v>1</v>
      </c>
      <c r="Y17" s="11"/>
    </row>
    <row r="18" spans="2:27" x14ac:dyDescent="0.3">
      <c r="B18" s="3" t="s">
        <v>21</v>
      </c>
      <c r="C18" s="3" t="s">
        <v>137</v>
      </c>
      <c r="D18" s="4" t="s">
        <v>81</v>
      </c>
      <c r="E18" s="3" t="s">
        <v>313</v>
      </c>
      <c r="F18" s="3" t="s">
        <v>312</v>
      </c>
      <c r="G18" s="6" t="s">
        <v>122</v>
      </c>
      <c r="H18">
        <v>2</v>
      </c>
      <c r="I18">
        <f t="shared" si="0"/>
        <v>2.5</v>
      </c>
      <c r="J18" s="10" t="s">
        <v>185</v>
      </c>
      <c r="L18" s="7" t="s">
        <v>123</v>
      </c>
      <c r="M18" s="1">
        <v>3</v>
      </c>
      <c r="N18" s="1" t="s">
        <v>475</v>
      </c>
      <c r="O18" s="11" t="s">
        <v>225</v>
      </c>
      <c r="P18" s="11" t="s">
        <v>244</v>
      </c>
      <c r="Q18" s="11" t="s">
        <v>225</v>
      </c>
      <c r="R18" s="11" t="s">
        <v>226</v>
      </c>
      <c r="S18" s="11" t="s">
        <v>225</v>
      </c>
      <c r="T18" s="11" t="s">
        <v>245</v>
      </c>
      <c r="U18" s="11" t="s">
        <v>225</v>
      </c>
      <c r="V18" s="11" t="s">
        <v>244</v>
      </c>
      <c r="W18" s="11" t="s">
        <v>225</v>
      </c>
      <c r="X18" s="11">
        <v>8</v>
      </c>
      <c r="Y18" s="11"/>
    </row>
    <row r="19" spans="2:27" x14ac:dyDescent="0.3">
      <c r="B19" s="3" t="s">
        <v>22</v>
      </c>
      <c r="C19" s="3" t="s">
        <v>138</v>
      </c>
      <c r="D19" s="4" t="s">
        <v>82</v>
      </c>
      <c r="E19" s="3" t="s">
        <v>313</v>
      </c>
      <c r="F19" s="3" t="s">
        <v>312</v>
      </c>
      <c r="G19" s="6" t="s">
        <v>122</v>
      </c>
      <c r="H19">
        <v>4</v>
      </c>
      <c r="I19">
        <f t="shared" si="0"/>
        <v>5</v>
      </c>
      <c r="J19" s="10" t="s">
        <v>186</v>
      </c>
      <c r="L19" s="7" t="s">
        <v>123</v>
      </c>
      <c r="M19" s="1">
        <v>3</v>
      </c>
      <c r="N19" t="s">
        <v>467</v>
      </c>
      <c r="O19" s="11" t="s">
        <v>83</v>
      </c>
      <c r="P19" s="11" t="s">
        <v>473</v>
      </c>
      <c r="Q19" s="11"/>
      <c r="R19" s="11"/>
      <c r="S19" s="11"/>
      <c r="T19" s="11"/>
      <c r="U19" s="11"/>
      <c r="V19" s="11"/>
      <c r="W19" s="11"/>
      <c r="X19" s="11">
        <v>1</v>
      </c>
      <c r="Y19" s="11"/>
    </row>
    <row r="20" spans="2:27" x14ac:dyDescent="0.3">
      <c r="B20" s="3" t="s">
        <v>55</v>
      </c>
      <c r="C20" s="3" t="s">
        <v>139</v>
      </c>
      <c r="D20" s="4" t="s">
        <v>83</v>
      </c>
      <c r="E20" s="3" t="s">
        <v>313</v>
      </c>
      <c r="F20" s="3" t="s">
        <v>312</v>
      </c>
      <c r="G20" s="6" t="s">
        <v>122</v>
      </c>
      <c r="H20">
        <v>4</v>
      </c>
      <c r="I20">
        <f t="shared" si="0"/>
        <v>5</v>
      </c>
      <c r="J20"/>
      <c r="L20" s="7" t="s">
        <v>123</v>
      </c>
      <c r="M20" s="1">
        <v>3</v>
      </c>
      <c r="N20" t="s">
        <v>467</v>
      </c>
      <c r="O20" s="11" t="s">
        <v>246</v>
      </c>
      <c r="P20" s="11" t="s">
        <v>246</v>
      </c>
      <c r="Q20" s="11" t="s">
        <v>223</v>
      </c>
      <c r="R20" s="11"/>
      <c r="S20" s="11"/>
      <c r="T20" s="11"/>
      <c r="U20" s="11"/>
      <c r="V20" s="11"/>
      <c r="W20" s="11"/>
      <c r="X20" s="11">
        <v>1</v>
      </c>
      <c r="Y20" s="11"/>
    </row>
    <row r="21" spans="2:27" x14ac:dyDescent="0.3">
      <c r="B21" s="3" t="s">
        <v>56</v>
      </c>
      <c r="C21" s="3" t="s">
        <v>140</v>
      </c>
      <c r="D21" s="4" t="s">
        <v>84</v>
      </c>
      <c r="E21" s="3" t="s">
        <v>313</v>
      </c>
      <c r="F21" s="3" t="s">
        <v>312</v>
      </c>
      <c r="G21" s="6" t="s">
        <v>122</v>
      </c>
      <c r="H21">
        <v>6</v>
      </c>
      <c r="I21">
        <f t="shared" si="0"/>
        <v>7.5</v>
      </c>
      <c r="J21" s="10" t="s">
        <v>187</v>
      </c>
      <c r="L21" s="7" t="s">
        <v>123</v>
      </c>
      <c r="M21" s="1">
        <v>2</v>
      </c>
      <c r="N21" t="s">
        <v>484</v>
      </c>
      <c r="O21" s="11" t="s">
        <v>247</v>
      </c>
      <c r="P21" s="11" t="s">
        <v>226</v>
      </c>
      <c r="Q21" s="11" t="s">
        <v>248</v>
      </c>
      <c r="R21" s="11" t="s">
        <v>249</v>
      </c>
      <c r="S21" s="11" t="s">
        <v>250</v>
      </c>
      <c r="T21" s="11" t="s">
        <v>251</v>
      </c>
      <c r="U21" s="11" t="s">
        <v>236</v>
      </c>
      <c r="V21" s="11"/>
      <c r="W21" s="11" t="s">
        <v>247</v>
      </c>
      <c r="X21" s="11">
        <v>5</v>
      </c>
      <c r="Y21" s="11"/>
    </row>
    <row r="22" spans="2:27" x14ac:dyDescent="0.3">
      <c r="B22" s="3" t="s">
        <v>23</v>
      </c>
      <c r="C22" s="3" t="s">
        <v>141</v>
      </c>
      <c r="D22" s="4" t="s">
        <v>85</v>
      </c>
      <c r="E22" s="3" t="s">
        <v>313</v>
      </c>
      <c r="F22" s="3" t="s">
        <v>312</v>
      </c>
      <c r="G22" s="6" t="s">
        <v>122</v>
      </c>
      <c r="H22">
        <v>6</v>
      </c>
      <c r="I22">
        <f t="shared" si="0"/>
        <v>7.5</v>
      </c>
      <c r="J22" s="10" t="s">
        <v>188</v>
      </c>
      <c r="L22" s="8" t="s">
        <v>122</v>
      </c>
      <c r="M22" s="1">
        <v>2</v>
      </c>
      <c r="N22" t="s">
        <v>484</v>
      </c>
      <c r="O22" s="11" t="s">
        <v>252</v>
      </c>
      <c r="P22" s="11" t="s">
        <v>253</v>
      </c>
      <c r="Q22" s="11" t="s">
        <v>251</v>
      </c>
      <c r="R22" s="11"/>
      <c r="S22" s="11"/>
      <c r="T22" s="11"/>
      <c r="U22" s="11"/>
      <c r="V22" s="11"/>
      <c r="W22" s="11"/>
      <c r="X22" s="11"/>
      <c r="Y22" s="11"/>
    </row>
    <row r="23" spans="2:27" x14ac:dyDescent="0.3">
      <c r="B23" s="3" t="s">
        <v>24</v>
      </c>
      <c r="C23" s="3" t="s">
        <v>142</v>
      </c>
      <c r="D23" s="4" t="s">
        <v>86</v>
      </c>
      <c r="E23" s="3" t="s">
        <v>313</v>
      </c>
      <c r="F23" s="3" t="s">
        <v>312</v>
      </c>
      <c r="G23" s="6" t="s">
        <v>122</v>
      </c>
      <c r="H23">
        <v>20</v>
      </c>
      <c r="I23">
        <f t="shared" si="0"/>
        <v>25</v>
      </c>
      <c r="J23" s="11" t="s">
        <v>189</v>
      </c>
      <c r="K23" s="1" t="s">
        <v>215</v>
      </c>
      <c r="L23" s="7" t="s">
        <v>123</v>
      </c>
      <c r="M23" s="1">
        <v>4</v>
      </c>
      <c r="N23" t="s">
        <v>484</v>
      </c>
      <c r="O23" s="11" t="s">
        <v>254</v>
      </c>
      <c r="P23" s="11" t="s">
        <v>255</v>
      </c>
      <c r="Q23" s="11" t="s">
        <v>236</v>
      </c>
      <c r="R23" s="11" t="s">
        <v>256</v>
      </c>
      <c r="S23" s="11" t="s">
        <v>257</v>
      </c>
      <c r="T23" s="11" t="s">
        <v>258</v>
      </c>
      <c r="U23" s="11" t="s">
        <v>228</v>
      </c>
      <c r="V23" s="11" t="s">
        <v>259</v>
      </c>
      <c r="W23" s="11" t="s">
        <v>260</v>
      </c>
      <c r="X23" s="11">
        <v>1</v>
      </c>
      <c r="Y23" s="11"/>
    </row>
    <row r="24" spans="2:27" x14ac:dyDescent="0.3">
      <c r="B24" s="3" t="s">
        <v>25</v>
      </c>
      <c r="C24" s="3" t="s">
        <v>143</v>
      </c>
      <c r="D24" s="4" t="s">
        <v>87</v>
      </c>
      <c r="E24" s="3" t="s">
        <v>313</v>
      </c>
      <c r="F24" s="3" t="s">
        <v>312</v>
      </c>
      <c r="G24" s="6" t="s">
        <v>122</v>
      </c>
      <c r="H24">
        <v>4</v>
      </c>
      <c r="I24">
        <f t="shared" si="0"/>
        <v>5</v>
      </c>
      <c r="J24" s="11" t="s">
        <v>190</v>
      </c>
      <c r="K24" s="1" t="s">
        <v>216</v>
      </c>
      <c r="L24" s="7" t="s">
        <v>123</v>
      </c>
      <c r="M24" s="1">
        <v>1</v>
      </c>
      <c r="N24" s="1" t="s">
        <v>469</v>
      </c>
      <c r="O24" s="11" t="s">
        <v>483</v>
      </c>
      <c r="P24" s="11" t="s">
        <v>473</v>
      </c>
      <c r="Q24" s="11" t="s">
        <v>473</v>
      </c>
      <c r="R24" s="11" t="s">
        <v>473</v>
      </c>
      <c r="S24" s="11"/>
      <c r="T24" s="11"/>
      <c r="U24" s="11"/>
      <c r="V24" s="11"/>
      <c r="W24" s="11"/>
      <c r="X24" s="11">
        <v>1</v>
      </c>
      <c r="Y24" s="11"/>
    </row>
    <row r="25" spans="2:27" x14ac:dyDescent="0.3">
      <c r="B25" s="3"/>
      <c r="C25" s="3"/>
      <c r="D25" s="4" t="s">
        <v>505</v>
      </c>
      <c r="E25" s="3" t="s">
        <v>313</v>
      </c>
      <c r="F25" s="3" t="s">
        <v>312</v>
      </c>
      <c r="G25" s="6" t="s">
        <v>122</v>
      </c>
      <c r="H25">
        <v>8</v>
      </c>
      <c r="I25">
        <f>ROUNDUP(H25*1.25,1)</f>
        <v>10</v>
      </c>
      <c r="J25" s="11" t="s">
        <v>191</v>
      </c>
      <c r="K25" s="1" t="s">
        <v>466</v>
      </c>
      <c r="L25" s="7" t="s">
        <v>465</v>
      </c>
      <c r="M25" s="1">
        <v>1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AA25" s="1" t="s">
        <v>506</v>
      </c>
    </row>
    <row r="26" spans="2:27" x14ac:dyDescent="0.3">
      <c r="B26" s="3" t="s">
        <v>26</v>
      </c>
      <c r="C26" s="3" t="s">
        <v>148</v>
      </c>
      <c r="D26" s="4" t="s">
        <v>88</v>
      </c>
      <c r="E26" s="3" t="s">
        <v>313</v>
      </c>
      <c r="F26" s="3" t="s">
        <v>312</v>
      </c>
      <c r="G26" s="6"/>
      <c r="L26" s="7" t="s">
        <v>123</v>
      </c>
      <c r="N26" s="1" t="s">
        <v>475</v>
      </c>
      <c r="O26" s="11" t="s">
        <v>485</v>
      </c>
      <c r="P26" s="11" t="s">
        <v>485</v>
      </c>
      <c r="Q26" s="11" t="s">
        <v>485</v>
      </c>
      <c r="R26" s="11" t="s">
        <v>485</v>
      </c>
      <c r="S26" s="11" t="s">
        <v>486</v>
      </c>
      <c r="T26" s="11" t="s">
        <v>487</v>
      </c>
      <c r="U26" s="11" t="s">
        <v>488</v>
      </c>
      <c r="V26" s="11" t="s">
        <v>488</v>
      </c>
      <c r="W26" s="11" t="s">
        <v>488</v>
      </c>
      <c r="X26" s="11">
        <v>1</v>
      </c>
      <c r="Y26" s="11"/>
      <c r="AA26" s="1" t="s">
        <v>507</v>
      </c>
    </row>
    <row r="27" spans="2:27" x14ac:dyDescent="0.3">
      <c r="B27" s="3" t="s">
        <v>27</v>
      </c>
      <c r="C27" s="3" t="s">
        <v>150</v>
      </c>
      <c r="D27" s="4" t="s">
        <v>89</v>
      </c>
      <c r="E27" s="3" t="s">
        <v>313</v>
      </c>
      <c r="F27" s="3" t="s">
        <v>312</v>
      </c>
      <c r="G27" s="6" t="s">
        <v>122</v>
      </c>
      <c r="H27">
        <v>5</v>
      </c>
      <c r="I27">
        <f t="shared" si="0"/>
        <v>6.3</v>
      </c>
      <c r="J27" s="11" t="s">
        <v>192</v>
      </c>
      <c r="L27" s="7" t="s">
        <v>123</v>
      </c>
      <c r="M27" s="1">
        <v>2</v>
      </c>
      <c r="N27" t="s">
        <v>467</v>
      </c>
      <c r="O27" s="11" t="s">
        <v>261</v>
      </c>
      <c r="P27" s="11" t="s">
        <v>262</v>
      </c>
      <c r="Q27" s="11"/>
      <c r="R27" s="11"/>
      <c r="S27" s="11"/>
      <c r="T27" s="11"/>
      <c r="U27" s="11"/>
      <c r="V27" s="11"/>
      <c r="W27" s="11"/>
      <c r="X27" s="11"/>
      <c r="Y27" s="11"/>
    </row>
    <row r="28" spans="2:27" x14ac:dyDescent="0.3">
      <c r="B28" s="3" t="s">
        <v>28</v>
      </c>
      <c r="C28" s="3" t="s">
        <v>153</v>
      </c>
      <c r="D28" s="4" t="s">
        <v>90</v>
      </c>
      <c r="E28" s="3" t="s">
        <v>313</v>
      </c>
      <c r="F28" s="3" t="s">
        <v>312</v>
      </c>
      <c r="G28" s="6" t="s">
        <v>122</v>
      </c>
      <c r="H28">
        <v>5</v>
      </c>
      <c r="I28">
        <f t="shared" si="0"/>
        <v>6.3</v>
      </c>
      <c r="J28" s="11" t="s">
        <v>193</v>
      </c>
      <c r="L28" s="7" t="s">
        <v>123</v>
      </c>
      <c r="M28" s="1">
        <v>2</v>
      </c>
      <c r="N28" t="s">
        <v>467</v>
      </c>
      <c r="O28" s="11" t="s">
        <v>261</v>
      </c>
      <c r="P28" s="11" t="s">
        <v>263</v>
      </c>
      <c r="Q28" s="11"/>
      <c r="R28" s="11"/>
      <c r="S28" s="11"/>
      <c r="T28" s="11"/>
      <c r="U28" s="11"/>
      <c r="V28" s="11"/>
      <c r="W28" s="11"/>
      <c r="X28" s="11"/>
      <c r="Y28" s="11"/>
    </row>
    <row r="29" spans="2:27" x14ac:dyDescent="0.3">
      <c r="B29" s="3" t="s">
        <v>57</v>
      </c>
      <c r="C29" s="3" t="s">
        <v>154</v>
      </c>
      <c r="D29" s="4" t="s">
        <v>91</v>
      </c>
      <c r="E29" s="3" t="s">
        <v>313</v>
      </c>
      <c r="F29" s="3" t="s">
        <v>312</v>
      </c>
      <c r="G29" s="6" t="s">
        <v>122</v>
      </c>
      <c r="H29">
        <v>5</v>
      </c>
      <c r="I29">
        <f t="shared" si="0"/>
        <v>6.3</v>
      </c>
      <c r="J29" s="11" t="s">
        <v>194</v>
      </c>
      <c r="L29" s="7" t="s">
        <v>123</v>
      </c>
      <c r="M29" s="1">
        <v>2</v>
      </c>
      <c r="N29" t="s">
        <v>484</v>
      </c>
      <c r="O29" s="11" t="s">
        <v>264</v>
      </c>
      <c r="P29" s="11" t="s">
        <v>247</v>
      </c>
      <c r="Q29" s="11" t="s">
        <v>265</v>
      </c>
      <c r="R29" s="11" t="s">
        <v>266</v>
      </c>
      <c r="S29" s="11"/>
      <c r="T29" s="11"/>
      <c r="U29" s="11"/>
      <c r="V29" s="11"/>
      <c r="W29" s="11"/>
      <c r="X29" s="11">
        <v>2</v>
      </c>
      <c r="Y29" s="11"/>
    </row>
    <row r="30" spans="2:27" x14ac:dyDescent="0.3">
      <c r="B30" s="3"/>
      <c r="C30" s="3"/>
      <c r="D30" s="4" t="s">
        <v>308</v>
      </c>
      <c r="E30" s="3" t="s">
        <v>313</v>
      </c>
      <c r="F30" s="3" t="s">
        <v>312</v>
      </c>
      <c r="G30" s="6" t="s">
        <v>122</v>
      </c>
      <c r="H30">
        <v>6</v>
      </c>
      <c r="I30">
        <v>7.5</v>
      </c>
      <c r="J30" s="11" t="s">
        <v>309</v>
      </c>
      <c r="L30" s="7" t="s">
        <v>123</v>
      </c>
      <c r="M30" s="1">
        <v>3</v>
      </c>
      <c r="N30" t="s">
        <v>484</v>
      </c>
      <c r="O30" s="11" t="s">
        <v>267</v>
      </c>
      <c r="P30" s="11" t="s">
        <v>268</v>
      </c>
      <c r="Q30" s="11" t="s">
        <v>269</v>
      </c>
      <c r="R30" s="11" t="s">
        <v>270</v>
      </c>
      <c r="S30" s="11" t="s">
        <v>226</v>
      </c>
      <c r="T30" s="11" t="s">
        <v>238</v>
      </c>
      <c r="U30" s="11" t="s">
        <v>238</v>
      </c>
      <c r="V30" s="11" t="s">
        <v>271</v>
      </c>
      <c r="X30" s="11">
        <v>4</v>
      </c>
      <c r="Y30" s="11"/>
    </row>
    <row r="31" spans="2:27" x14ac:dyDescent="0.3">
      <c r="B31" s="3" t="s">
        <v>29</v>
      </c>
      <c r="C31" s="3" t="s">
        <v>161</v>
      </c>
      <c r="D31" s="4" t="s">
        <v>92</v>
      </c>
      <c r="E31" s="3" t="s">
        <v>313</v>
      </c>
      <c r="F31" s="3" t="s">
        <v>312</v>
      </c>
      <c r="G31" s="6" t="s">
        <v>122</v>
      </c>
      <c r="H31">
        <v>8</v>
      </c>
      <c r="I31">
        <f t="shared" si="0"/>
        <v>10</v>
      </c>
      <c r="J31" s="11" t="s">
        <v>195</v>
      </c>
      <c r="L31" s="8" t="s">
        <v>122</v>
      </c>
      <c r="M31" s="1">
        <v>2</v>
      </c>
      <c r="N31" s="1" t="s">
        <v>475</v>
      </c>
      <c r="O31" s="11" t="s">
        <v>272</v>
      </c>
      <c r="P31" s="11" t="s">
        <v>249</v>
      </c>
      <c r="Q31" s="11" t="s">
        <v>219</v>
      </c>
      <c r="R31" s="11" t="s">
        <v>273</v>
      </c>
      <c r="S31" s="11" t="s">
        <v>272</v>
      </c>
      <c r="T31" s="11"/>
      <c r="U31" s="11"/>
      <c r="V31" s="11"/>
      <c r="W31" s="11"/>
      <c r="X31" s="11"/>
      <c r="Y31" s="11"/>
    </row>
    <row r="32" spans="2:27" x14ac:dyDescent="0.3">
      <c r="B32" s="3" t="s">
        <v>58</v>
      </c>
      <c r="C32" s="3" t="s">
        <v>171</v>
      </c>
      <c r="D32" s="4" t="s">
        <v>93</v>
      </c>
      <c r="E32" s="3" t="s">
        <v>313</v>
      </c>
      <c r="F32" s="3" t="s">
        <v>312</v>
      </c>
      <c r="G32" s="6" t="s">
        <v>122</v>
      </c>
      <c r="H32">
        <v>12</v>
      </c>
      <c r="I32">
        <f t="shared" si="0"/>
        <v>15</v>
      </c>
      <c r="J32" s="11" t="s">
        <v>196</v>
      </c>
      <c r="L32" s="8" t="s">
        <v>122</v>
      </c>
      <c r="M32" s="1">
        <v>3</v>
      </c>
      <c r="N32" s="1" t="s">
        <v>475</v>
      </c>
      <c r="O32" s="11" t="s">
        <v>272</v>
      </c>
      <c r="P32" s="11" t="s">
        <v>249</v>
      </c>
      <c r="Q32" s="11" t="s">
        <v>219</v>
      </c>
      <c r="R32" s="11" t="s">
        <v>249</v>
      </c>
      <c r="S32" s="11" t="s">
        <v>273</v>
      </c>
      <c r="T32" s="11" t="s">
        <v>272</v>
      </c>
      <c r="U32" s="11"/>
      <c r="V32" s="11"/>
      <c r="W32" s="11"/>
      <c r="X32" s="11"/>
      <c r="Y32" s="11"/>
    </row>
    <row r="33" spans="2:25" x14ac:dyDescent="0.3">
      <c r="B33" s="3" t="s">
        <v>59</v>
      </c>
      <c r="C33" s="3" t="s">
        <v>172</v>
      </c>
      <c r="D33" s="4" t="s">
        <v>94</v>
      </c>
      <c r="E33" s="3" t="s">
        <v>313</v>
      </c>
      <c r="F33" s="3" t="s">
        <v>312</v>
      </c>
      <c r="G33" s="6" t="s">
        <v>122</v>
      </c>
      <c r="H33">
        <v>16</v>
      </c>
      <c r="I33">
        <f t="shared" si="0"/>
        <v>20</v>
      </c>
      <c r="J33" s="11" t="s">
        <v>197</v>
      </c>
      <c r="L33" s="8" t="s">
        <v>122</v>
      </c>
      <c r="M33" s="1">
        <v>4</v>
      </c>
      <c r="N33" s="1" t="s">
        <v>475</v>
      </c>
      <c r="O33" s="11" t="s">
        <v>272</v>
      </c>
      <c r="P33" s="11" t="s">
        <v>249</v>
      </c>
      <c r="Q33" s="11" t="s">
        <v>219</v>
      </c>
      <c r="R33" s="11" t="s">
        <v>249</v>
      </c>
      <c r="S33" s="11" t="s">
        <v>273</v>
      </c>
      <c r="T33" s="11" t="s">
        <v>249</v>
      </c>
      <c r="U33" s="11" t="s">
        <v>272</v>
      </c>
      <c r="V33" s="11"/>
      <c r="W33" s="11"/>
      <c r="X33" s="11"/>
      <c r="Y33" s="11"/>
    </row>
    <row r="34" spans="2:25" x14ac:dyDescent="0.3">
      <c r="B34" s="3" t="s">
        <v>30</v>
      </c>
      <c r="C34" s="3" t="s">
        <v>162</v>
      </c>
      <c r="D34" s="4" t="s">
        <v>95</v>
      </c>
      <c r="E34" s="3" t="s">
        <v>313</v>
      </c>
      <c r="F34" s="3" t="s">
        <v>312</v>
      </c>
      <c r="G34" s="6" t="s">
        <v>122</v>
      </c>
      <c r="H34">
        <v>4</v>
      </c>
      <c r="I34">
        <f t="shared" si="0"/>
        <v>5</v>
      </c>
      <c r="J34" s="11" t="s">
        <v>198</v>
      </c>
      <c r="L34" s="7" t="s">
        <v>123</v>
      </c>
      <c r="M34" s="1">
        <v>1</v>
      </c>
      <c r="N34" s="1" t="s">
        <v>475</v>
      </c>
      <c r="O34" s="11" t="s">
        <v>274</v>
      </c>
      <c r="P34" s="11" t="s">
        <v>270</v>
      </c>
      <c r="Q34" s="11" t="s">
        <v>226</v>
      </c>
      <c r="R34" s="11" t="s">
        <v>226</v>
      </c>
      <c r="S34" s="11" t="s">
        <v>267</v>
      </c>
      <c r="T34" s="11" t="s">
        <v>228</v>
      </c>
      <c r="U34" s="11" t="s">
        <v>274</v>
      </c>
      <c r="V34" s="11"/>
      <c r="W34" s="11"/>
      <c r="X34" s="11">
        <v>3</v>
      </c>
      <c r="Y34" s="11"/>
    </row>
    <row r="35" spans="2:25" x14ac:dyDescent="0.3">
      <c r="B35" s="3" t="s">
        <v>31</v>
      </c>
      <c r="C35" s="3" t="s">
        <v>158</v>
      </c>
      <c r="D35" s="4" t="s">
        <v>96</v>
      </c>
      <c r="E35" s="3" t="s">
        <v>313</v>
      </c>
      <c r="F35" s="3" t="s">
        <v>312</v>
      </c>
      <c r="G35" s="6" t="s">
        <v>122</v>
      </c>
      <c r="H35">
        <v>4</v>
      </c>
      <c r="I35">
        <f t="shared" si="0"/>
        <v>5</v>
      </c>
      <c r="J35" s="11" t="s">
        <v>192</v>
      </c>
      <c r="L35" s="8" t="s">
        <v>122</v>
      </c>
      <c r="M35" s="1">
        <v>1</v>
      </c>
      <c r="N35" t="s">
        <v>467</v>
      </c>
      <c r="O35" s="11" t="s">
        <v>275</v>
      </c>
      <c r="P35" s="11" t="s">
        <v>276</v>
      </c>
      <c r="Q35" s="11"/>
      <c r="R35" s="11"/>
      <c r="S35" s="11"/>
      <c r="T35" s="11"/>
      <c r="U35" s="11"/>
      <c r="V35" s="11"/>
      <c r="W35" s="11"/>
      <c r="X35" s="11">
        <v>2</v>
      </c>
      <c r="Y35" s="11"/>
    </row>
    <row r="36" spans="2:25" x14ac:dyDescent="0.3">
      <c r="B36" s="3" t="s">
        <v>32</v>
      </c>
      <c r="C36" s="3" t="s">
        <v>159</v>
      </c>
      <c r="D36" s="4" t="s">
        <v>97</v>
      </c>
      <c r="E36" s="3" t="s">
        <v>313</v>
      </c>
      <c r="F36" s="3" t="s">
        <v>312</v>
      </c>
      <c r="G36" s="6" t="s">
        <v>122</v>
      </c>
      <c r="H36">
        <v>5</v>
      </c>
      <c r="I36">
        <f t="shared" si="0"/>
        <v>6.3</v>
      </c>
      <c r="J36" s="11" t="s">
        <v>199</v>
      </c>
      <c r="L36" s="8" t="s">
        <v>122</v>
      </c>
      <c r="M36" s="1">
        <v>1</v>
      </c>
      <c r="N36" t="s">
        <v>484</v>
      </c>
      <c r="O36" s="11" t="s">
        <v>270</v>
      </c>
      <c r="P36" s="11" t="s">
        <v>276</v>
      </c>
      <c r="Q36" s="11" t="s">
        <v>257</v>
      </c>
      <c r="R36" s="11" t="s">
        <v>219</v>
      </c>
      <c r="S36" s="11" t="s">
        <v>273</v>
      </c>
      <c r="T36" s="11"/>
      <c r="U36" s="11"/>
      <c r="V36" s="11"/>
      <c r="W36" s="11"/>
      <c r="X36" s="11">
        <v>3</v>
      </c>
      <c r="Y36" s="11"/>
    </row>
    <row r="37" spans="2:25" x14ac:dyDescent="0.3">
      <c r="B37" s="3" t="s">
        <v>33</v>
      </c>
      <c r="C37" s="3" t="s">
        <v>160</v>
      </c>
      <c r="D37" s="4" t="s">
        <v>98</v>
      </c>
      <c r="E37" s="3" t="s">
        <v>313</v>
      </c>
      <c r="F37" s="3" t="s">
        <v>312</v>
      </c>
      <c r="G37" s="6" t="s">
        <v>122</v>
      </c>
      <c r="H37">
        <v>5</v>
      </c>
      <c r="I37">
        <f t="shared" si="0"/>
        <v>6.3</v>
      </c>
      <c r="J37" s="11" t="s">
        <v>200</v>
      </c>
      <c r="L37" s="7" t="s">
        <v>123</v>
      </c>
      <c r="M37" s="1">
        <v>2</v>
      </c>
      <c r="N37" t="s">
        <v>451</v>
      </c>
      <c r="O37" s="11" t="s">
        <v>277</v>
      </c>
      <c r="P37" s="11"/>
      <c r="Q37" s="11"/>
      <c r="R37" s="11"/>
      <c r="S37" s="11"/>
      <c r="T37" s="11"/>
      <c r="U37" s="11"/>
      <c r="V37" s="11"/>
      <c r="W37" s="11"/>
      <c r="X37" s="11">
        <v>1</v>
      </c>
      <c r="Y37" s="11"/>
    </row>
    <row r="38" spans="2:25" x14ac:dyDescent="0.3">
      <c r="B38" s="3" t="s">
        <v>34</v>
      </c>
      <c r="C38" s="3" t="s">
        <v>163</v>
      </c>
      <c r="D38" s="4" t="s">
        <v>99</v>
      </c>
      <c r="E38" s="3" t="s">
        <v>313</v>
      </c>
      <c r="F38" s="3" t="s">
        <v>312</v>
      </c>
      <c r="G38" s="6" t="s">
        <v>122</v>
      </c>
      <c r="H38">
        <v>3</v>
      </c>
      <c r="I38">
        <f t="shared" si="0"/>
        <v>3.8000000000000003</v>
      </c>
      <c r="J38" s="11" t="s">
        <v>201</v>
      </c>
      <c r="L38" s="7" t="s">
        <v>123</v>
      </c>
      <c r="M38" s="1">
        <v>1</v>
      </c>
      <c r="N38" t="s">
        <v>467</v>
      </c>
      <c r="O38" s="11" t="s">
        <v>278</v>
      </c>
      <c r="P38" s="11" t="s">
        <v>279</v>
      </c>
      <c r="Q38" s="11"/>
      <c r="R38" s="11"/>
      <c r="S38" s="11"/>
      <c r="T38" s="11"/>
      <c r="U38" s="11"/>
      <c r="V38" s="11"/>
      <c r="W38" s="11"/>
      <c r="X38" s="11">
        <v>1</v>
      </c>
      <c r="Y38" s="11"/>
    </row>
    <row r="39" spans="2:25" x14ac:dyDescent="0.3">
      <c r="B39" s="3" t="s">
        <v>35</v>
      </c>
      <c r="C39" s="3" t="s">
        <v>164</v>
      </c>
      <c r="D39" s="4" t="s">
        <v>100</v>
      </c>
      <c r="E39" s="3" t="s">
        <v>313</v>
      </c>
      <c r="F39" s="3" t="s">
        <v>312</v>
      </c>
      <c r="G39" s="6" t="s">
        <v>122</v>
      </c>
      <c r="H39">
        <v>24</v>
      </c>
      <c r="I39">
        <f t="shared" si="0"/>
        <v>30</v>
      </c>
      <c r="J39" s="11" t="s">
        <v>202</v>
      </c>
      <c r="L39" s="7" t="s">
        <v>123</v>
      </c>
      <c r="M39" s="1">
        <v>4</v>
      </c>
      <c r="N39" t="s">
        <v>451</v>
      </c>
      <c r="O39" s="11" t="s">
        <v>280</v>
      </c>
      <c r="P39" s="11"/>
      <c r="Q39" s="11"/>
      <c r="R39" s="11"/>
      <c r="S39" s="11"/>
      <c r="T39" s="11"/>
      <c r="U39" s="11"/>
      <c r="V39" s="11"/>
      <c r="W39" s="11"/>
      <c r="X39" s="11">
        <v>1</v>
      </c>
      <c r="Y39" s="11"/>
    </row>
    <row r="40" spans="2:25" x14ac:dyDescent="0.3">
      <c r="B40" s="3" t="s">
        <v>60</v>
      </c>
      <c r="C40" s="3" t="s">
        <v>151</v>
      </c>
      <c r="D40" s="4" t="s">
        <v>101</v>
      </c>
      <c r="E40" s="3" t="s">
        <v>313</v>
      </c>
      <c r="F40" s="3" t="s">
        <v>312</v>
      </c>
      <c r="G40" s="6" t="s">
        <v>122</v>
      </c>
      <c r="H40">
        <v>3</v>
      </c>
      <c r="I40">
        <f t="shared" si="0"/>
        <v>3.8000000000000003</v>
      </c>
      <c r="J40" s="11" t="s">
        <v>203</v>
      </c>
      <c r="L40" s="7" t="s">
        <v>123</v>
      </c>
      <c r="M40" s="1">
        <v>1</v>
      </c>
      <c r="N40" s="1" t="s">
        <v>479</v>
      </c>
      <c r="O40" s="11" t="s">
        <v>281</v>
      </c>
      <c r="P40" s="11"/>
      <c r="Q40" s="11"/>
      <c r="R40" s="11"/>
      <c r="S40" s="11"/>
      <c r="T40" s="11"/>
      <c r="U40" s="11"/>
      <c r="V40" s="11"/>
      <c r="W40" s="11"/>
      <c r="X40" s="11">
        <v>8</v>
      </c>
      <c r="Y40" s="11"/>
    </row>
    <row r="41" spans="2:25" x14ac:dyDescent="0.3">
      <c r="B41" s="3" t="s">
        <v>36</v>
      </c>
      <c r="C41" s="3" t="s">
        <v>174</v>
      </c>
      <c r="D41" s="4" t="s">
        <v>102</v>
      </c>
      <c r="E41" s="3" t="s">
        <v>313</v>
      </c>
      <c r="F41" s="3" t="s">
        <v>312</v>
      </c>
      <c r="G41" s="6" t="s">
        <v>122</v>
      </c>
      <c r="H41">
        <v>8</v>
      </c>
      <c r="I41">
        <f t="shared" si="0"/>
        <v>10</v>
      </c>
      <c r="J41" s="11" t="s">
        <v>204</v>
      </c>
      <c r="L41" s="7" t="s">
        <v>123</v>
      </c>
      <c r="M41" s="1">
        <v>2</v>
      </c>
      <c r="N41" t="s">
        <v>484</v>
      </c>
      <c r="O41" s="11" t="s">
        <v>282</v>
      </c>
      <c r="P41" s="11" t="s">
        <v>283</v>
      </c>
      <c r="Q41" s="11" t="s">
        <v>284</v>
      </c>
      <c r="R41" s="11" t="s">
        <v>236</v>
      </c>
      <c r="S41" s="11"/>
      <c r="T41" s="11"/>
      <c r="U41" s="11"/>
      <c r="V41" s="11"/>
      <c r="W41" s="11"/>
      <c r="X41" s="11"/>
      <c r="Y41" s="11"/>
    </row>
    <row r="42" spans="2:25" x14ac:dyDescent="0.3">
      <c r="B42" s="3" t="s">
        <v>61</v>
      </c>
      <c r="C42" s="3" t="s">
        <v>173</v>
      </c>
      <c r="D42" s="4" t="s">
        <v>103</v>
      </c>
      <c r="E42" s="3" t="s">
        <v>313</v>
      </c>
      <c r="F42" s="3" t="s">
        <v>312</v>
      </c>
      <c r="G42" s="6" t="s">
        <v>122</v>
      </c>
      <c r="H42">
        <v>10</v>
      </c>
      <c r="I42">
        <f t="shared" si="0"/>
        <v>12.5</v>
      </c>
      <c r="J42" s="11" t="s">
        <v>205</v>
      </c>
      <c r="L42" s="7" t="s">
        <v>123</v>
      </c>
      <c r="M42" s="1">
        <v>2</v>
      </c>
      <c r="N42" t="s">
        <v>467</v>
      </c>
      <c r="O42" s="11" t="s">
        <v>285</v>
      </c>
      <c r="P42" s="11" t="s">
        <v>228</v>
      </c>
      <c r="Q42" s="11" t="s">
        <v>222</v>
      </c>
      <c r="R42" s="11"/>
      <c r="S42" s="11"/>
      <c r="T42" s="11"/>
      <c r="U42" s="11"/>
      <c r="V42" s="11"/>
      <c r="W42" s="11"/>
      <c r="X42" s="11">
        <v>1</v>
      </c>
      <c r="Y42" s="11"/>
    </row>
    <row r="43" spans="2:25" x14ac:dyDescent="0.3">
      <c r="B43" s="3" t="s">
        <v>62</v>
      </c>
      <c r="C43" s="3" t="s">
        <v>149</v>
      </c>
      <c r="D43" s="4" t="s">
        <v>104</v>
      </c>
      <c r="E43" s="3" t="s">
        <v>313</v>
      </c>
      <c r="F43" s="3" t="s">
        <v>312</v>
      </c>
      <c r="G43" s="6" t="s">
        <v>122</v>
      </c>
      <c r="H43">
        <v>8</v>
      </c>
      <c r="I43">
        <f t="shared" si="0"/>
        <v>10</v>
      </c>
      <c r="J43" s="11" t="s">
        <v>206</v>
      </c>
      <c r="K43" s="1" t="s">
        <v>216</v>
      </c>
      <c r="L43" s="7" t="s">
        <v>123</v>
      </c>
      <c r="M43" s="1">
        <v>1</v>
      </c>
      <c r="N43" t="s">
        <v>467</v>
      </c>
      <c r="O43" s="11" t="s">
        <v>105</v>
      </c>
      <c r="P43" s="11" t="s">
        <v>341</v>
      </c>
      <c r="Q43" s="11"/>
      <c r="R43" s="11"/>
      <c r="S43" s="11"/>
      <c r="T43" s="11"/>
      <c r="U43" s="11"/>
      <c r="V43" s="11"/>
      <c r="W43" s="11"/>
      <c r="X43" s="11"/>
      <c r="Y43" s="11"/>
    </row>
    <row r="44" spans="2:25" x14ac:dyDescent="0.3">
      <c r="B44" s="3" t="s">
        <v>63</v>
      </c>
      <c r="C44" s="3" t="s">
        <v>165</v>
      </c>
      <c r="D44" s="4" t="s">
        <v>105</v>
      </c>
      <c r="E44" s="3" t="s">
        <v>313</v>
      </c>
      <c r="F44" s="3" t="s">
        <v>312</v>
      </c>
      <c r="G44" s="6" t="s">
        <v>122</v>
      </c>
      <c r="H44">
        <v>7</v>
      </c>
      <c r="I44">
        <f t="shared" si="0"/>
        <v>8.7999999999999989</v>
      </c>
      <c r="J44"/>
      <c r="L44" s="8" t="s">
        <v>122</v>
      </c>
      <c r="M44" s="1">
        <v>1</v>
      </c>
      <c r="N44" t="s">
        <v>484</v>
      </c>
      <c r="O44" s="11" t="s">
        <v>258</v>
      </c>
      <c r="P44" s="11" t="s">
        <v>228</v>
      </c>
      <c r="Q44" s="11" t="s">
        <v>286</v>
      </c>
      <c r="R44" s="11" t="s">
        <v>257</v>
      </c>
      <c r="S44" s="11" t="s">
        <v>287</v>
      </c>
      <c r="T44" s="11"/>
      <c r="U44" s="11" t="s">
        <v>288</v>
      </c>
      <c r="V44" s="11"/>
      <c r="W44" s="11"/>
      <c r="X44" s="11">
        <v>3</v>
      </c>
      <c r="Y44" s="11"/>
    </row>
    <row r="45" spans="2:25" x14ac:dyDescent="0.3">
      <c r="B45" s="3" t="s">
        <v>37</v>
      </c>
      <c r="C45" s="3" t="s">
        <v>144</v>
      </c>
      <c r="D45" s="4" t="s">
        <v>106</v>
      </c>
      <c r="E45" s="3" t="s">
        <v>313</v>
      </c>
      <c r="F45" s="3" t="s">
        <v>312</v>
      </c>
      <c r="G45" s="6" t="s">
        <v>122</v>
      </c>
      <c r="H45">
        <v>8</v>
      </c>
      <c r="I45">
        <f t="shared" si="0"/>
        <v>10</v>
      </c>
      <c r="J45" s="11" t="s">
        <v>195</v>
      </c>
      <c r="L45" s="8" t="s">
        <v>122</v>
      </c>
      <c r="M45" s="1">
        <v>1</v>
      </c>
      <c r="Y45" s="11"/>
    </row>
    <row r="46" spans="2:25" x14ac:dyDescent="0.3">
      <c r="B46" s="3" t="s">
        <v>38</v>
      </c>
      <c r="C46" s="3" t="s">
        <v>176</v>
      </c>
      <c r="D46" s="4" t="s">
        <v>107</v>
      </c>
      <c r="E46" s="3" t="s">
        <v>313</v>
      </c>
      <c r="F46" s="3" t="s">
        <v>312</v>
      </c>
      <c r="G46" s="6" t="s">
        <v>122</v>
      </c>
      <c r="H46">
        <v>9</v>
      </c>
      <c r="I46">
        <f t="shared" si="0"/>
        <v>11.299999999999999</v>
      </c>
      <c r="J46" s="11" t="s">
        <v>207</v>
      </c>
      <c r="K46" s="1" t="s">
        <v>215</v>
      </c>
      <c r="L46" s="7" t="s">
        <v>123</v>
      </c>
      <c r="M46" s="1">
        <v>3</v>
      </c>
      <c r="N46" t="s">
        <v>467</v>
      </c>
      <c r="O46" s="11" t="s">
        <v>289</v>
      </c>
      <c r="P46" s="11" t="s">
        <v>290</v>
      </c>
      <c r="Q46" s="11"/>
      <c r="R46" s="11"/>
      <c r="S46" s="11"/>
      <c r="T46" s="11"/>
      <c r="U46" s="11"/>
      <c r="V46" s="11"/>
      <c r="W46" s="11"/>
      <c r="X46" s="11"/>
      <c r="Y46" s="11"/>
    </row>
    <row r="47" spans="2:25" x14ac:dyDescent="0.3">
      <c r="B47" s="3" t="s">
        <v>39</v>
      </c>
      <c r="C47" s="3" t="s">
        <v>155</v>
      </c>
      <c r="D47" s="4" t="s">
        <v>108</v>
      </c>
      <c r="E47" s="3" t="s">
        <v>313</v>
      </c>
      <c r="F47" s="3" t="s">
        <v>312</v>
      </c>
      <c r="G47" s="6" t="s">
        <v>122</v>
      </c>
      <c r="H47">
        <v>7</v>
      </c>
      <c r="I47">
        <f t="shared" si="0"/>
        <v>8.7999999999999989</v>
      </c>
      <c r="J47" s="10" t="s">
        <v>208</v>
      </c>
      <c r="L47" s="8" t="s">
        <v>122</v>
      </c>
      <c r="M47" s="1">
        <v>2</v>
      </c>
      <c r="N47" t="s">
        <v>467</v>
      </c>
      <c r="O47" s="11" t="s">
        <v>276</v>
      </c>
      <c r="P47" s="11" t="s">
        <v>291</v>
      </c>
      <c r="Q47" s="11"/>
      <c r="R47" s="11"/>
      <c r="S47" s="11"/>
      <c r="T47" s="11"/>
      <c r="U47" s="11"/>
      <c r="V47" s="11"/>
      <c r="W47" s="11"/>
      <c r="X47" s="11"/>
      <c r="Y47" s="11"/>
    </row>
    <row r="48" spans="2:25" x14ac:dyDescent="0.3">
      <c r="B48" s="3" t="s">
        <v>40</v>
      </c>
      <c r="C48" s="3" t="s">
        <v>152</v>
      </c>
      <c r="D48" s="4" t="s">
        <v>109</v>
      </c>
      <c r="E48" s="3" t="s">
        <v>313</v>
      </c>
      <c r="F48" s="3" t="s">
        <v>312</v>
      </c>
      <c r="G48" s="6" t="s">
        <v>122</v>
      </c>
      <c r="H48">
        <v>6</v>
      </c>
      <c r="I48">
        <f t="shared" si="0"/>
        <v>7.5</v>
      </c>
      <c r="J48" s="11" t="s">
        <v>203</v>
      </c>
      <c r="L48" s="7" t="s">
        <v>123</v>
      </c>
      <c r="M48" s="1">
        <v>2</v>
      </c>
      <c r="Q48" s="11"/>
      <c r="R48" s="11"/>
      <c r="S48" s="11"/>
      <c r="T48" s="11"/>
      <c r="U48" s="11"/>
      <c r="V48" s="11"/>
      <c r="W48" s="11"/>
      <c r="X48" s="11"/>
      <c r="Y48" s="11"/>
    </row>
    <row r="49" spans="2:25" x14ac:dyDescent="0.3">
      <c r="B49" s="3" t="s">
        <v>41</v>
      </c>
      <c r="C49" s="3" t="s">
        <v>166</v>
      </c>
      <c r="D49" s="4" t="s">
        <v>110</v>
      </c>
      <c r="E49" s="3" t="s">
        <v>313</v>
      </c>
      <c r="F49" s="3" t="s">
        <v>312</v>
      </c>
      <c r="G49" s="6" t="s">
        <v>122</v>
      </c>
      <c r="H49">
        <v>5</v>
      </c>
      <c r="I49">
        <f t="shared" si="0"/>
        <v>6.3</v>
      </c>
      <c r="J49" s="11" t="s">
        <v>209</v>
      </c>
      <c r="L49" s="7" t="s">
        <v>123</v>
      </c>
      <c r="M49" s="1">
        <v>3</v>
      </c>
      <c r="N49" t="s">
        <v>484</v>
      </c>
      <c r="O49" s="11" t="s">
        <v>292</v>
      </c>
      <c r="P49" s="11" t="s">
        <v>259</v>
      </c>
      <c r="Q49" s="11" t="s">
        <v>266</v>
      </c>
      <c r="R49" s="11" t="s">
        <v>293</v>
      </c>
      <c r="S49" s="11"/>
      <c r="T49" s="11"/>
      <c r="U49" s="11"/>
      <c r="V49" s="11"/>
      <c r="W49" s="11"/>
      <c r="X49" s="11">
        <v>2</v>
      </c>
      <c r="Y49" s="11"/>
    </row>
    <row r="50" spans="2:25" x14ac:dyDescent="0.3">
      <c r="B50" s="3" t="s">
        <v>42</v>
      </c>
      <c r="C50" s="3" t="s">
        <v>145</v>
      </c>
      <c r="D50" s="4" t="s">
        <v>111</v>
      </c>
      <c r="E50" s="3" t="s">
        <v>313</v>
      </c>
      <c r="F50" s="3" t="s">
        <v>312</v>
      </c>
      <c r="G50" s="6" t="s">
        <v>122</v>
      </c>
      <c r="H50">
        <v>3</v>
      </c>
      <c r="I50">
        <f t="shared" si="0"/>
        <v>3.8000000000000003</v>
      </c>
      <c r="J50" s="11" t="s">
        <v>210</v>
      </c>
      <c r="L50" s="7" t="s">
        <v>123</v>
      </c>
      <c r="M50" s="1">
        <v>3</v>
      </c>
      <c r="N50" t="s">
        <v>484</v>
      </c>
      <c r="O50" s="11" t="s">
        <v>294</v>
      </c>
      <c r="P50" s="11" t="s">
        <v>247</v>
      </c>
      <c r="Q50" s="11" t="s">
        <v>295</v>
      </c>
      <c r="R50" s="11"/>
      <c r="S50" s="11"/>
      <c r="T50" s="11"/>
      <c r="U50" s="11"/>
      <c r="V50" s="11"/>
      <c r="W50" s="11"/>
      <c r="X50" s="11">
        <v>3</v>
      </c>
      <c r="Y50" s="11"/>
    </row>
    <row r="51" spans="2:25" x14ac:dyDescent="0.3">
      <c r="B51" s="3" t="s">
        <v>43</v>
      </c>
      <c r="C51" s="3" t="s">
        <v>167</v>
      </c>
      <c r="D51" s="4" t="s">
        <v>112</v>
      </c>
      <c r="E51" s="3" t="s">
        <v>313</v>
      </c>
      <c r="F51" s="3" t="s">
        <v>312</v>
      </c>
      <c r="G51" s="6" t="s">
        <v>122</v>
      </c>
      <c r="H51">
        <v>6</v>
      </c>
      <c r="I51">
        <f t="shared" si="0"/>
        <v>7.5</v>
      </c>
      <c r="J51" s="11" t="s">
        <v>200</v>
      </c>
      <c r="L51" s="7" t="s">
        <v>123</v>
      </c>
      <c r="M51" s="1">
        <v>2</v>
      </c>
      <c r="N51" s="1" t="s">
        <v>484</v>
      </c>
      <c r="O51" s="1" t="s">
        <v>495</v>
      </c>
      <c r="P51" s="1" t="s">
        <v>496</v>
      </c>
      <c r="Q51" s="1" t="s">
        <v>497</v>
      </c>
      <c r="R51" s="1" t="s">
        <v>491</v>
      </c>
      <c r="S51" s="1" t="s">
        <v>498</v>
      </c>
      <c r="Y51" s="11"/>
    </row>
    <row r="52" spans="2:25" x14ac:dyDescent="0.3">
      <c r="B52" s="3" t="s">
        <v>44</v>
      </c>
      <c r="C52" s="3" t="s">
        <v>175</v>
      </c>
      <c r="D52" s="4" t="s">
        <v>113</v>
      </c>
      <c r="E52" s="3" t="s">
        <v>313</v>
      </c>
      <c r="F52" s="3" t="s">
        <v>312</v>
      </c>
      <c r="G52" s="6" t="s">
        <v>122</v>
      </c>
      <c r="H52">
        <v>6</v>
      </c>
      <c r="I52">
        <f t="shared" si="0"/>
        <v>7.5</v>
      </c>
      <c r="J52" s="11" t="s">
        <v>211</v>
      </c>
      <c r="K52" s="1" t="s">
        <v>215</v>
      </c>
      <c r="L52" s="7" t="s">
        <v>123</v>
      </c>
      <c r="M52" s="1">
        <v>2</v>
      </c>
      <c r="N52" s="1" t="s">
        <v>467</v>
      </c>
      <c r="O52" s="1" t="s">
        <v>490</v>
      </c>
      <c r="P52" s="1" t="s">
        <v>489</v>
      </c>
      <c r="Y52" s="11"/>
    </row>
    <row r="53" spans="2:25" x14ac:dyDescent="0.3">
      <c r="B53" s="3" t="s">
        <v>64</v>
      </c>
      <c r="C53" s="3" t="s">
        <v>156</v>
      </c>
      <c r="D53" s="4" t="s">
        <v>114</v>
      </c>
      <c r="E53" s="3" t="s">
        <v>313</v>
      </c>
      <c r="F53" s="3" t="s">
        <v>312</v>
      </c>
      <c r="G53" s="6" t="s">
        <v>122</v>
      </c>
      <c r="H53">
        <v>6</v>
      </c>
      <c r="I53">
        <f t="shared" si="0"/>
        <v>7.5</v>
      </c>
      <c r="J53" s="11" t="s">
        <v>212</v>
      </c>
      <c r="L53" s="7" t="s">
        <v>123</v>
      </c>
      <c r="M53" s="1">
        <v>2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2:25" x14ac:dyDescent="0.3">
      <c r="B54" s="3" t="s">
        <v>45</v>
      </c>
      <c r="C54" s="3" t="s">
        <v>168</v>
      </c>
      <c r="D54" s="4" t="s">
        <v>115</v>
      </c>
      <c r="E54" s="3" t="s">
        <v>313</v>
      </c>
      <c r="F54" s="3" t="s">
        <v>312</v>
      </c>
      <c r="G54" s="6" t="s">
        <v>122</v>
      </c>
      <c r="H54">
        <v>6</v>
      </c>
      <c r="I54">
        <f t="shared" si="0"/>
        <v>7.5</v>
      </c>
      <c r="J54" s="11"/>
      <c r="K54" s="1" t="s">
        <v>215</v>
      </c>
      <c r="L54" s="7" t="s">
        <v>123</v>
      </c>
      <c r="M54" s="1">
        <v>2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2:25" x14ac:dyDescent="0.3">
      <c r="B55" s="3" t="s">
        <v>65</v>
      </c>
      <c r="C55" s="3" t="s">
        <v>169</v>
      </c>
      <c r="D55" s="4" t="s">
        <v>116</v>
      </c>
      <c r="E55" s="3" t="s">
        <v>313</v>
      </c>
      <c r="F55" s="3" t="s">
        <v>312</v>
      </c>
      <c r="G55" s="6" t="s">
        <v>122</v>
      </c>
      <c r="H55">
        <v>6</v>
      </c>
      <c r="I55">
        <f t="shared" si="0"/>
        <v>7.5</v>
      </c>
      <c r="J55" s="11"/>
      <c r="L55" s="7" t="s">
        <v>123</v>
      </c>
      <c r="M55" s="1">
        <v>2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2:25" x14ac:dyDescent="0.3">
      <c r="B56" s="3" t="s">
        <v>46</v>
      </c>
      <c r="C56" s="3" t="s">
        <v>146</v>
      </c>
      <c r="D56" s="4" t="s">
        <v>117</v>
      </c>
      <c r="E56" s="3" t="s">
        <v>313</v>
      </c>
      <c r="F56" s="3" t="s">
        <v>312</v>
      </c>
      <c r="G56" s="6" t="s">
        <v>122</v>
      </c>
      <c r="H56">
        <v>6</v>
      </c>
      <c r="I56">
        <f t="shared" si="0"/>
        <v>7.5</v>
      </c>
      <c r="J56" s="11" t="s">
        <v>213</v>
      </c>
      <c r="L56" s="7" t="s">
        <v>123</v>
      </c>
      <c r="M56" s="1">
        <v>2</v>
      </c>
      <c r="N56" s="1" t="s">
        <v>484</v>
      </c>
      <c r="O56" s="11" t="s">
        <v>296</v>
      </c>
      <c r="P56" s="11" t="s">
        <v>247</v>
      </c>
      <c r="Q56" s="11" t="s">
        <v>295</v>
      </c>
      <c r="R56" s="11" t="s">
        <v>265</v>
      </c>
      <c r="S56" s="11"/>
      <c r="T56" s="11"/>
      <c r="U56" s="11"/>
      <c r="V56" s="11"/>
      <c r="W56" s="11"/>
      <c r="X56" s="11">
        <v>1</v>
      </c>
      <c r="Y56" s="11"/>
    </row>
    <row r="57" spans="2:25" x14ac:dyDescent="0.3">
      <c r="B57" s="3" t="s">
        <v>66</v>
      </c>
      <c r="C57" s="3" t="s">
        <v>177</v>
      </c>
      <c r="D57" s="4" t="s">
        <v>118</v>
      </c>
      <c r="E57" s="3" t="s">
        <v>313</v>
      </c>
      <c r="F57" s="3" t="s">
        <v>312</v>
      </c>
      <c r="G57" s="6" t="s">
        <v>122</v>
      </c>
      <c r="H57">
        <v>3</v>
      </c>
      <c r="I57">
        <f t="shared" si="0"/>
        <v>3.8000000000000003</v>
      </c>
      <c r="J57"/>
      <c r="L57" s="7" t="s">
        <v>123</v>
      </c>
      <c r="M57" s="1">
        <v>1</v>
      </c>
      <c r="N57" s="1" t="s">
        <v>484</v>
      </c>
      <c r="O57" s="11" t="s">
        <v>234</v>
      </c>
      <c r="P57" s="11" t="s">
        <v>226</v>
      </c>
      <c r="Q57" s="11" t="s">
        <v>228</v>
      </c>
      <c r="R57" s="11"/>
      <c r="S57" s="11"/>
      <c r="T57" s="11"/>
      <c r="U57" s="11"/>
      <c r="V57" s="11"/>
      <c r="W57" s="11"/>
      <c r="X57" s="11">
        <v>1</v>
      </c>
      <c r="Y57" s="11"/>
    </row>
    <row r="58" spans="2:25" x14ac:dyDescent="0.3">
      <c r="B58" s="3" t="s">
        <v>47</v>
      </c>
      <c r="C58" s="3" t="s">
        <v>147</v>
      </c>
      <c r="D58" s="4" t="s">
        <v>119</v>
      </c>
      <c r="E58" s="3" t="s">
        <v>313</v>
      </c>
      <c r="F58" s="3" t="s">
        <v>312</v>
      </c>
      <c r="G58" s="6" t="s">
        <v>122</v>
      </c>
      <c r="H58">
        <v>3</v>
      </c>
      <c r="I58">
        <f t="shared" si="0"/>
        <v>3.8000000000000003</v>
      </c>
      <c r="J58"/>
      <c r="L58" s="7" t="s">
        <v>123</v>
      </c>
      <c r="M58" s="1">
        <v>4</v>
      </c>
      <c r="N58" s="1" t="s">
        <v>484</v>
      </c>
      <c r="O58" s="11" t="s">
        <v>247</v>
      </c>
      <c r="P58" s="11" t="s">
        <v>226</v>
      </c>
      <c r="Q58" s="11" t="s">
        <v>471</v>
      </c>
      <c r="R58" s="11" t="s">
        <v>225</v>
      </c>
      <c r="S58" s="11" t="s">
        <v>267</v>
      </c>
      <c r="T58" s="11" t="s">
        <v>297</v>
      </c>
      <c r="U58" s="11"/>
      <c r="V58" s="11"/>
      <c r="W58" s="11"/>
      <c r="X58" s="11">
        <v>2</v>
      </c>
      <c r="Y58" s="11"/>
    </row>
    <row r="59" spans="2:25" s="10" customFormat="1" x14ac:dyDescent="0.3">
      <c r="D59" s="10" t="s">
        <v>314</v>
      </c>
      <c r="E59" s="3" t="s">
        <v>313</v>
      </c>
      <c r="F59" s="3" t="s">
        <v>312</v>
      </c>
      <c r="G59" s="6" t="s">
        <v>465</v>
      </c>
      <c r="H59" s="10">
        <v>5</v>
      </c>
      <c r="I59" s="14">
        <f t="shared" si="0"/>
        <v>6.3</v>
      </c>
      <c r="L59" s="7" t="s">
        <v>123</v>
      </c>
      <c r="M59" s="10">
        <v>2</v>
      </c>
      <c r="N59" s="1" t="s">
        <v>467</v>
      </c>
      <c r="O59" s="11" t="s">
        <v>494</v>
      </c>
      <c r="P59" s="11" t="s">
        <v>226</v>
      </c>
      <c r="Q59" s="11" t="s">
        <v>494</v>
      </c>
      <c r="X59" s="11">
        <v>2</v>
      </c>
    </row>
    <row r="60" spans="2:25" s="10" customFormat="1" x14ac:dyDescent="0.3">
      <c r="D60" s="10" t="s">
        <v>315</v>
      </c>
      <c r="E60" s="3" t="s">
        <v>313</v>
      </c>
      <c r="F60" s="3" t="s">
        <v>312</v>
      </c>
      <c r="G60" s="6" t="s">
        <v>465</v>
      </c>
      <c r="H60" s="10">
        <v>6</v>
      </c>
      <c r="I60" s="14">
        <f t="shared" si="0"/>
        <v>7.5</v>
      </c>
      <c r="L60" s="7" t="s">
        <v>123</v>
      </c>
      <c r="M60" s="10">
        <v>2</v>
      </c>
      <c r="N60" s="1" t="s">
        <v>467</v>
      </c>
      <c r="O60" s="11" t="s">
        <v>494</v>
      </c>
      <c r="P60" s="11" t="s">
        <v>270</v>
      </c>
      <c r="Q60" s="11" t="s">
        <v>494</v>
      </c>
      <c r="X60" s="11">
        <v>2</v>
      </c>
    </row>
    <row r="61" spans="2:25" x14ac:dyDescent="0.3">
      <c r="B61" s="3" t="s">
        <v>67</v>
      </c>
      <c r="C61" s="3" t="s">
        <v>170</v>
      </c>
      <c r="D61" s="5" t="s">
        <v>120</v>
      </c>
      <c r="E61" s="3" t="s">
        <v>313</v>
      </c>
      <c r="F61" s="3" t="s">
        <v>312</v>
      </c>
      <c r="G61" s="6" t="s">
        <v>122</v>
      </c>
      <c r="H61">
        <v>4</v>
      </c>
      <c r="I61">
        <f t="shared" si="0"/>
        <v>5</v>
      </c>
      <c r="J61" s="11" t="s">
        <v>214</v>
      </c>
      <c r="L61" s="7" t="s">
        <v>123</v>
      </c>
      <c r="M61" s="1">
        <v>4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2:25" x14ac:dyDescent="0.3">
      <c r="B62" s="3" t="s">
        <v>68</v>
      </c>
      <c r="C62" s="3" t="s">
        <v>157</v>
      </c>
      <c r="D62" s="5" t="s">
        <v>121</v>
      </c>
      <c r="E62" s="3" t="s">
        <v>313</v>
      </c>
      <c r="F62" s="3" t="s">
        <v>312</v>
      </c>
      <c r="G62" s="6" t="s">
        <v>122</v>
      </c>
      <c r="H62">
        <v>7</v>
      </c>
      <c r="I62">
        <f t="shared" si="0"/>
        <v>8.7999999999999989</v>
      </c>
      <c r="J62" s="11" t="s">
        <v>194</v>
      </c>
      <c r="L62" s="7" t="s">
        <v>123</v>
      </c>
      <c r="M62" s="1">
        <v>2</v>
      </c>
      <c r="O62" s="11" t="s">
        <v>298</v>
      </c>
      <c r="Y62" s="11"/>
    </row>
    <row r="63" spans="2:25" x14ac:dyDescent="0.3">
      <c r="Y63" s="11"/>
    </row>
    <row r="64" spans="2:25" x14ac:dyDescent="0.3"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5:25" x14ac:dyDescent="0.3">
      <c r="Y65" s="11"/>
    </row>
    <row r="66" spans="15:25" x14ac:dyDescent="0.3">
      <c r="Y66" s="11"/>
    </row>
    <row r="67" spans="15:25" x14ac:dyDescent="0.3"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5:25" x14ac:dyDescent="0.3"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5:25" x14ac:dyDescent="0.3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5:25" x14ac:dyDescent="0.3">
      <c r="P70" s="11"/>
      <c r="Q70" s="11"/>
      <c r="R70" s="11"/>
      <c r="S70" s="11"/>
      <c r="T70" s="11"/>
      <c r="U70" s="11"/>
      <c r="V70" s="11"/>
      <c r="W70" s="11"/>
      <c r="X70" s="11"/>
      <c r="Y70" s="11"/>
    </row>
  </sheetData>
  <mergeCells count="10">
    <mergeCell ref="N1:Z1"/>
    <mergeCell ref="AA1:AA2"/>
    <mergeCell ref="A1:A2"/>
    <mergeCell ref="B1:B2"/>
    <mergeCell ref="C1:C2"/>
    <mergeCell ref="D1:D2"/>
    <mergeCell ref="G1:G2"/>
    <mergeCell ref="H1:L1"/>
    <mergeCell ref="E1:E2"/>
    <mergeCell ref="F1:F2"/>
  </mergeCells>
  <phoneticPr fontId="1" type="noConversion"/>
  <hyperlinks>
    <hyperlink ref="J47" r:id="rId1" tooltip="潮涌能量" display="https://minecraft.fandom.com/zh/wiki/%E6%BD%AE%E6%B6%8C%E8%83%BD%E9%87%8F" xr:uid="{841BFBF1-FFFE-4B0B-91B5-F41B67BC9044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69CD-748C-492E-8853-A0D142E757F1}">
  <dimension ref="A1:Y34"/>
  <sheetViews>
    <sheetView topLeftCell="D13" zoomScale="70" zoomScaleNormal="70" workbookViewId="0">
      <selection activeCell="I34" sqref="I34"/>
    </sheetView>
  </sheetViews>
  <sheetFormatPr defaultRowHeight="14" x14ac:dyDescent="0.3"/>
  <cols>
    <col min="2" max="2" width="27.83203125" customWidth="1"/>
    <col min="3" max="3" width="27.58203125" customWidth="1"/>
    <col min="4" max="4" width="13.75" customWidth="1"/>
    <col min="5" max="5" width="14" customWidth="1"/>
    <col min="6" max="6" width="13.75" customWidth="1"/>
    <col min="10" max="10" width="8" customWidth="1"/>
    <col min="12" max="12" width="19.25" customWidth="1"/>
    <col min="13" max="13" width="11.5" customWidth="1"/>
    <col min="14" max="14" width="9.9140625" customWidth="1"/>
    <col min="25" max="25" width="20.58203125" customWidth="1"/>
  </cols>
  <sheetData>
    <row r="1" spans="1:25" s="9" customFormat="1" x14ac:dyDescent="0.3">
      <c r="A1" s="18" t="s">
        <v>0</v>
      </c>
      <c r="B1" s="18" t="s">
        <v>1</v>
      </c>
      <c r="C1" s="18" t="s">
        <v>3</v>
      </c>
      <c r="D1" s="18" t="s">
        <v>2</v>
      </c>
      <c r="E1" s="18" t="s">
        <v>310</v>
      </c>
      <c r="F1" s="18" t="s">
        <v>311</v>
      </c>
      <c r="G1" s="18" t="s">
        <v>4</v>
      </c>
      <c r="H1" s="18" t="s">
        <v>407</v>
      </c>
      <c r="I1" s="18"/>
      <c r="J1" s="18"/>
      <c r="K1" s="18"/>
      <c r="L1" s="18" t="s">
        <v>13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 t="s">
        <v>124</v>
      </c>
    </row>
    <row r="2" spans="1:25" s="9" customFormat="1" x14ac:dyDescent="0.3">
      <c r="A2" s="18"/>
      <c r="B2" s="18"/>
      <c r="C2" s="18"/>
      <c r="D2" s="18"/>
      <c r="E2" s="18"/>
      <c r="F2" s="18"/>
      <c r="G2" s="18"/>
      <c r="H2" s="9" t="s">
        <v>5</v>
      </c>
      <c r="I2" s="9" t="s">
        <v>6</v>
      </c>
      <c r="J2" s="9" t="s">
        <v>8</v>
      </c>
      <c r="K2" s="9" t="s">
        <v>9</v>
      </c>
      <c r="L2" s="9" t="s">
        <v>12</v>
      </c>
      <c r="M2" s="9">
        <v>1</v>
      </c>
      <c r="N2" s="9">
        <v>2</v>
      </c>
      <c r="O2" s="9">
        <v>3</v>
      </c>
      <c r="P2" s="9">
        <v>4</v>
      </c>
      <c r="Q2" s="9">
        <v>5</v>
      </c>
      <c r="R2" s="9">
        <v>6</v>
      </c>
      <c r="S2" s="9">
        <v>7</v>
      </c>
      <c r="T2" s="9">
        <v>8</v>
      </c>
      <c r="U2" s="9">
        <v>9</v>
      </c>
      <c r="V2" s="9" t="s">
        <v>299</v>
      </c>
      <c r="W2" s="9" t="s">
        <v>14</v>
      </c>
      <c r="X2" s="9" t="s">
        <v>15</v>
      </c>
      <c r="Y2" s="18"/>
    </row>
    <row r="3" spans="1:25" x14ac:dyDescent="0.3">
      <c r="B3" s="12" t="s">
        <v>316</v>
      </c>
      <c r="D3" s="10" t="s">
        <v>339</v>
      </c>
      <c r="E3" t="s">
        <v>363</v>
      </c>
      <c r="G3" t="s">
        <v>123</v>
      </c>
      <c r="H3" s="11">
        <v>2</v>
      </c>
      <c r="I3">
        <f t="shared" ref="I3:I27" si="0">ROUNDUP(H3*1.25,1)</f>
        <v>2.5</v>
      </c>
      <c r="K3" s="15" t="s">
        <v>122</v>
      </c>
      <c r="L3" t="s">
        <v>444</v>
      </c>
      <c r="M3" t="s">
        <v>445</v>
      </c>
      <c r="V3">
        <v>4</v>
      </c>
    </row>
    <row r="4" spans="1:25" x14ac:dyDescent="0.3">
      <c r="B4" s="12" t="s">
        <v>317</v>
      </c>
      <c r="D4" s="10" t="s">
        <v>269</v>
      </c>
      <c r="E4" t="s">
        <v>363</v>
      </c>
      <c r="G4" t="s">
        <v>123</v>
      </c>
      <c r="H4" s="11">
        <v>2</v>
      </c>
      <c r="I4">
        <f t="shared" si="0"/>
        <v>2.5</v>
      </c>
      <c r="K4" s="7" t="s">
        <v>123</v>
      </c>
      <c r="L4" t="s">
        <v>467</v>
      </c>
      <c r="M4" t="s">
        <v>446</v>
      </c>
      <c r="N4" t="s">
        <v>471</v>
      </c>
      <c r="V4">
        <v>1</v>
      </c>
    </row>
    <row r="5" spans="1:25" x14ac:dyDescent="0.3">
      <c r="B5" s="12" t="s">
        <v>318</v>
      </c>
      <c r="D5" s="10" t="s">
        <v>221</v>
      </c>
      <c r="E5" t="s">
        <v>363</v>
      </c>
      <c r="G5" t="s">
        <v>123</v>
      </c>
      <c r="H5" s="11">
        <v>2</v>
      </c>
      <c r="I5">
        <f t="shared" si="0"/>
        <v>2.5</v>
      </c>
      <c r="K5" s="7" t="s">
        <v>123</v>
      </c>
      <c r="L5" t="s">
        <v>467</v>
      </c>
      <c r="M5" t="s">
        <v>447</v>
      </c>
      <c r="N5" t="s">
        <v>473</v>
      </c>
      <c r="V5">
        <v>1</v>
      </c>
    </row>
    <row r="6" spans="1:25" x14ac:dyDescent="0.3">
      <c r="B6" s="12" t="s">
        <v>319</v>
      </c>
      <c r="D6" s="10" t="s">
        <v>340</v>
      </c>
      <c r="E6" t="s">
        <v>363</v>
      </c>
      <c r="G6" t="s">
        <v>123</v>
      </c>
      <c r="H6" s="12">
        <v>4</v>
      </c>
      <c r="I6">
        <f t="shared" si="0"/>
        <v>5</v>
      </c>
      <c r="K6" s="7" t="s">
        <v>123</v>
      </c>
      <c r="L6" t="s">
        <v>467</v>
      </c>
      <c r="M6" s="12" t="s">
        <v>448</v>
      </c>
      <c r="N6" s="12" t="s">
        <v>219</v>
      </c>
      <c r="O6" s="12" t="s">
        <v>448</v>
      </c>
      <c r="P6" s="12" t="s">
        <v>448</v>
      </c>
      <c r="Q6" s="12" t="s">
        <v>449</v>
      </c>
      <c r="R6" s="12" t="s">
        <v>228</v>
      </c>
      <c r="V6">
        <v>3</v>
      </c>
    </row>
    <row r="7" spans="1:25" x14ac:dyDescent="0.3">
      <c r="B7" s="12" t="s">
        <v>320</v>
      </c>
      <c r="D7" s="10" t="s">
        <v>341</v>
      </c>
      <c r="E7" t="s">
        <v>363</v>
      </c>
      <c r="G7" t="s">
        <v>123</v>
      </c>
      <c r="H7" s="12">
        <v>0</v>
      </c>
      <c r="I7">
        <v>0.5</v>
      </c>
      <c r="J7" t="s">
        <v>477</v>
      </c>
      <c r="K7" s="7" t="s">
        <v>123</v>
      </c>
      <c r="L7" t="s">
        <v>411</v>
      </c>
      <c r="M7" t="s">
        <v>421</v>
      </c>
      <c r="N7" t="s">
        <v>471</v>
      </c>
      <c r="O7" t="s">
        <v>471</v>
      </c>
      <c r="P7" t="s">
        <v>471</v>
      </c>
      <c r="V7">
        <v>3</v>
      </c>
    </row>
    <row r="8" spans="1:25" x14ac:dyDescent="0.3">
      <c r="B8" s="12" t="s">
        <v>321</v>
      </c>
      <c r="D8" s="10" t="s">
        <v>283</v>
      </c>
      <c r="E8" t="s">
        <v>363</v>
      </c>
      <c r="F8" t="s">
        <v>365</v>
      </c>
      <c r="G8" t="s">
        <v>123</v>
      </c>
      <c r="H8" s="12">
        <v>1</v>
      </c>
      <c r="I8">
        <v>1.5</v>
      </c>
      <c r="K8" s="7" t="s">
        <v>123</v>
      </c>
      <c r="L8" t="s">
        <v>467</v>
      </c>
      <c r="M8" s="12" t="s">
        <v>219</v>
      </c>
      <c r="N8" s="12" t="s">
        <v>219</v>
      </c>
      <c r="O8" s="12" t="s">
        <v>219</v>
      </c>
      <c r="P8" s="12" t="s">
        <v>225</v>
      </c>
      <c r="Q8" s="12" t="s">
        <v>225</v>
      </c>
      <c r="R8" s="12" t="s">
        <v>225</v>
      </c>
      <c r="S8" s="12" t="s">
        <v>228</v>
      </c>
      <c r="T8" s="12" t="s">
        <v>450</v>
      </c>
      <c r="V8">
        <v>3</v>
      </c>
    </row>
    <row r="9" spans="1:25" x14ac:dyDescent="0.3">
      <c r="B9" s="12" t="s">
        <v>322</v>
      </c>
      <c r="D9" s="10" t="s">
        <v>284</v>
      </c>
      <c r="E9" t="s">
        <v>363</v>
      </c>
      <c r="G9" t="s">
        <v>123</v>
      </c>
      <c r="H9" s="12">
        <v>3</v>
      </c>
      <c r="I9">
        <f t="shared" si="0"/>
        <v>3.8000000000000003</v>
      </c>
      <c r="K9" s="7" t="s">
        <v>123</v>
      </c>
      <c r="L9" t="s">
        <v>467</v>
      </c>
      <c r="M9" s="12" t="s">
        <v>227</v>
      </c>
      <c r="N9" s="12" t="s">
        <v>265</v>
      </c>
      <c r="O9" s="12" t="s">
        <v>237</v>
      </c>
      <c r="P9" s="12" t="s">
        <v>224</v>
      </c>
      <c r="Q9" s="12" t="s">
        <v>228</v>
      </c>
      <c r="V9">
        <v>3</v>
      </c>
    </row>
    <row r="10" spans="1:25" x14ac:dyDescent="0.3">
      <c r="B10" s="12" t="s">
        <v>323</v>
      </c>
      <c r="D10" s="10" t="s">
        <v>282</v>
      </c>
      <c r="E10" t="s">
        <v>363</v>
      </c>
      <c r="G10" t="s">
        <v>123</v>
      </c>
      <c r="H10" s="12">
        <v>4</v>
      </c>
      <c r="I10">
        <f t="shared" si="0"/>
        <v>5</v>
      </c>
      <c r="K10" s="7" t="s">
        <v>123</v>
      </c>
      <c r="L10" t="s">
        <v>451</v>
      </c>
      <c r="M10" s="12" t="s">
        <v>400</v>
      </c>
      <c r="V10">
        <v>1</v>
      </c>
    </row>
    <row r="11" spans="1:25" x14ac:dyDescent="0.3">
      <c r="B11" s="12" t="s">
        <v>324</v>
      </c>
      <c r="D11" s="10" t="s">
        <v>291</v>
      </c>
      <c r="E11" t="s">
        <v>363</v>
      </c>
      <c r="G11" t="s">
        <v>123</v>
      </c>
      <c r="H11" s="12">
        <v>5</v>
      </c>
      <c r="I11">
        <f t="shared" si="0"/>
        <v>6.3</v>
      </c>
      <c r="K11" s="7" t="s">
        <v>123</v>
      </c>
      <c r="L11" t="s">
        <v>475</v>
      </c>
      <c r="N11" s="12" t="s">
        <v>275</v>
      </c>
      <c r="O11" s="12"/>
      <c r="P11" s="12" t="s">
        <v>275</v>
      </c>
      <c r="Q11" s="12"/>
      <c r="R11" s="12" t="s">
        <v>275</v>
      </c>
      <c r="S11" s="12"/>
      <c r="T11" s="12" t="s">
        <v>275</v>
      </c>
      <c r="V11">
        <v>4</v>
      </c>
    </row>
    <row r="12" spans="1:25" x14ac:dyDescent="0.3">
      <c r="B12" s="12" t="s">
        <v>325</v>
      </c>
      <c r="D12" s="10" t="s">
        <v>290</v>
      </c>
      <c r="E12" t="s">
        <v>363</v>
      </c>
      <c r="G12" t="s">
        <v>123</v>
      </c>
      <c r="H12" s="12">
        <v>4</v>
      </c>
      <c r="I12">
        <f t="shared" si="0"/>
        <v>5</v>
      </c>
      <c r="J12" t="s">
        <v>466</v>
      </c>
      <c r="K12" s="7" t="s">
        <v>123</v>
      </c>
      <c r="L12" t="s">
        <v>467</v>
      </c>
      <c r="M12" s="12" t="s">
        <v>239</v>
      </c>
      <c r="N12" s="12" t="s">
        <v>452</v>
      </c>
      <c r="O12" s="12" t="s">
        <v>452</v>
      </c>
      <c r="P12" s="12" t="s">
        <v>295</v>
      </c>
      <c r="Q12" s="12"/>
      <c r="V12" s="12">
        <v>1</v>
      </c>
    </row>
    <row r="13" spans="1:25" x14ac:dyDescent="0.3">
      <c r="B13" s="12" t="s">
        <v>326</v>
      </c>
      <c r="D13" s="10" t="s">
        <v>293</v>
      </c>
      <c r="E13" t="s">
        <v>363</v>
      </c>
      <c r="G13" t="s">
        <v>123</v>
      </c>
      <c r="H13" s="12">
        <v>5</v>
      </c>
      <c r="I13">
        <f t="shared" si="0"/>
        <v>6.3</v>
      </c>
      <c r="K13" s="7" t="s">
        <v>123</v>
      </c>
      <c r="L13" t="s">
        <v>451</v>
      </c>
      <c r="M13" s="12" t="s">
        <v>401</v>
      </c>
      <c r="N13" s="12"/>
      <c r="O13" s="12"/>
      <c r="P13" s="12"/>
      <c r="Q13" s="12"/>
      <c r="V13" s="12">
        <v>1</v>
      </c>
    </row>
    <row r="14" spans="1:25" x14ac:dyDescent="0.3">
      <c r="B14" s="12" t="s">
        <v>327</v>
      </c>
      <c r="D14" s="10" t="s">
        <v>234</v>
      </c>
      <c r="E14" t="s">
        <v>363</v>
      </c>
      <c r="G14" t="s">
        <v>123</v>
      </c>
      <c r="H14" s="12">
        <v>2</v>
      </c>
      <c r="I14">
        <f t="shared" si="0"/>
        <v>2.5</v>
      </c>
      <c r="K14" s="7" t="s">
        <v>123</v>
      </c>
      <c r="L14" t="s">
        <v>467</v>
      </c>
      <c r="M14" s="12" t="s">
        <v>232</v>
      </c>
      <c r="N14" s="12" t="s">
        <v>453</v>
      </c>
      <c r="O14" s="12"/>
      <c r="P14" s="12"/>
      <c r="Q14" s="12"/>
      <c r="V14" s="12">
        <v>1</v>
      </c>
    </row>
    <row r="15" spans="1:25" x14ac:dyDescent="0.3">
      <c r="B15" s="12" t="s">
        <v>328</v>
      </c>
      <c r="D15" s="10" t="s">
        <v>270</v>
      </c>
      <c r="E15" t="s">
        <v>363</v>
      </c>
      <c r="G15" t="s">
        <v>123</v>
      </c>
      <c r="H15" s="12">
        <v>2</v>
      </c>
      <c r="I15">
        <f t="shared" si="0"/>
        <v>2.5</v>
      </c>
      <c r="K15" s="7" t="s">
        <v>123</v>
      </c>
      <c r="L15" t="s">
        <v>479</v>
      </c>
      <c r="M15" s="12" t="s">
        <v>258</v>
      </c>
      <c r="N15" s="12"/>
      <c r="O15" s="12"/>
      <c r="P15" s="12"/>
      <c r="Q15" s="12"/>
      <c r="V15" s="12">
        <v>4</v>
      </c>
    </row>
    <row r="16" spans="1:25" x14ac:dyDescent="0.3">
      <c r="B16" s="12" t="s">
        <v>329</v>
      </c>
      <c r="D16" s="10" t="s">
        <v>272</v>
      </c>
      <c r="E16" t="s">
        <v>363</v>
      </c>
      <c r="G16" t="s">
        <v>123</v>
      </c>
      <c r="H16" s="12">
        <v>4</v>
      </c>
      <c r="I16">
        <f t="shared" si="0"/>
        <v>5</v>
      </c>
      <c r="K16" s="7" t="s">
        <v>123</v>
      </c>
      <c r="L16" t="s">
        <v>451</v>
      </c>
      <c r="M16" s="12" t="s">
        <v>247</v>
      </c>
      <c r="N16" s="12"/>
      <c r="O16" s="12"/>
      <c r="P16" s="12"/>
      <c r="Q16" s="12"/>
      <c r="V16" s="12">
        <v>1</v>
      </c>
    </row>
    <row r="17" spans="2:22" x14ac:dyDescent="0.3">
      <c r="B17" s="12" t="s">
        <v>330</v>
      </c>
      <c r="D17" s="10" t="s">
        <v>232</v>
      </c>
      <c r="E17" t="s">
        <v>363</v>
      </c>
      <c r="G17" t="s">
        <v>123</v>
      </c>
      <c r="H17" s="12">
        <v>2</v>
      </c>
      <c r="I17">
        <f t="shared" si="0"/>
        <v>2.5</v>
      </c>
      <c r="J17" t="s">
        <v>477</v>
      </c>
      <c r="K17" s="7" t="s">
        <v>123</v>
      </c>
      <c r="L17" t="s">
        <v>467</v>
      </c>
      <c r="M17" s="12" t="s">
        <v>220</v>
      </c>
      <c r="N17" s="12" t="s">
        <v>477</v>
      </c>
      <c r="O17" s="12"/>
      <c r="P17" s="12"/>
      <c r="Q17" s="12"/>
      <c r="V17" s="12">
        <v>1</v>
      </c>
    </row>
    <row r="18" spans="2:22" x14ac:dyDescent="0.3">
      <c r="B18" s="12" t="s">
        <v>331</v>
      </c>
      <c r="D18" s="10" t="s">
        <v>241</v>
      </c>
      <c r="E18" t="s">
        <v>363</v>
      </c>
      <c r="G18" t="s">
        <v>123</v>
      </c>
      <c r="H18" s="12">
        <v>3</v>
      </c>
      <c r="I18">
        <f t="shared" si="0"/>
        <v>3.8000000000000003</v>
      </c>
      <c r="K18" s="7" t="s">
        <v>123</v>
      </c>
      <c r="L18" t="s">
        <v>451</v>
      </c>
      <c r="M18" s="12" t="s">
        <v>271</v>
      </c>
      <c r="N18" s="12"/>
      <c r="O18" s="12"/>
      <c r="P18" s="12"/>
      <c r="Q18" s="12"/>
      <c r="V18" s="12">
        <v>1</v>
      </c>
    </row>
    <row r="19" spans="2:22" x14ac:dyDescent="0.3">
      <c r="B19" s="12" t="s">
        <v>332</v>
      </c>
      <c r="D19" s="10" t="s">
        <v>342</v>
      </c>
      <c r="E19" t="s">
        <v>363</v>
      </c>
      <c r="F19" t="s">
        <v>366</v>
      </c>
      <c r="G19" t="s">
        <v>123</v>
      </c>
      <c r="H19" s="12">
        <v>2</v>
      </c>
      <c r="I19">
        <f t="shared" si="0"/>
        <v>2.5</v>
      </c>
      <c r="J19" t="s">
        <v>457</v>
      </c>
      <c r="K19" s="7" t="s">
        <v>123</v>
      </c>
      <c r="L19" t="s">
        <v>467</v>
      </c>
      <c r="M19" t="s">
        <v>457</v>
      </c>
      <c r="N19" s="12" t="s">
        <v>242</v>
      </c>
      <c r="O19" s="12"/>
      <c r="P19" s="12"/>
      <c r="Q19" s="12"/>
      <c r="V19" s="12">
        <v>3</v>
      </c>
    </row>
    <row r="20" spans="2:22" x14ac:dyDescent="0.3">
      <c r="B20" s="12" t="s">
        <v>333</v>
      </c>
      <c r="D20" s="10" t="s">
        <v>243</v>
      </c>
      <c r="E20" t="s">
        <v>363</v>
      </c>
      <c r="F20" t="s">
        <v>365</v>
      </c>
      <c r="G20" t="s">
        <v>123</v>
      </c>
      <c r="H20" s="12">
        <v>2</v>
      </c>
      <c r="I20">
        <f t="shared" si="0"/>
        <v>2.5</v>
      </c>
      <c r="J20" t="s">
        <v>457</v>
      </c>
      <c r="K20" s="7" t="s">
        <v>123</v>
      </c>
      <c r="L20" t="s">
        <v>467</v>
      </c>
      <c r="M20" t="s">
        <v>457</v>
      </c>
      <c r="N20" s="12" t="s">
        <v>242</v>
      </c>
      <c r="O20" s="12" t="s">
        <v>225</v>
      </c>
      <c r="P20" s="12" t="s">
        <v>225</v>
      </c>
      <c r="Q20" s="12"/>
      <c r="V20" s="12">
        <v>3</v>
      </c>
    </row>
    <row r="21" spans="2:22" x14ac:dyDescent="0.3">
      <c r="B21" s="12" t="s">
        <v>334</v>
      </c>
      <c r="D21" s="10" t="s">
        <v>343</v>
      </c>
      <c r="E21" t="s">
        <v>363</v>
      </c>
      <c r="F21" t="s">
        <v>366</v>
      </c>
      <c r="G21" t="s">
        <v>123</v>
      </c>
      <c r="H21" s="12">
        <v>2</v>
      </c>
      <c r="I21">
        <f t="shared" si="0"/>
        <v>2.5</v>
      </c>
      <c r="J21" t="s">
        <v>457</v>
      </c>
      <c r="K21" s="7" t="s">
        <v>123</v>
      </c>
      <c r="L21" t="s">
        <v>467</v>
      </c>
      <c r="M21" t="s">
        <v>457</v>
      </c>
      <c r="N21" s="12" t="s">
        <v>454</v>
      </c>
      <c r="O21" s="12"/>
      <c r="P21" s="12"/>
      <c r="Q21" s="12"/>
      <c r="V21" s="12">
        <v>3</v>
      </c>
    </row>
    <row r="22" spans="2:22" x14ac:dyDescent="0.3">
      <c r="B22" s="12" t="s">
        <v>335</v>
      </c>
      <c r="D22" s="10" t="s">
        <v>344</v>
      </c>
      <c r="E22" t="s">
        <v>363</v>
      </c>
      <c r="F22" t="s">
        <v>364</v>
      </c>
      <c r="G22" t="s">
        <v>123</v>
      </c>
      <c r="H22" s="12">
        <v>2</v>
      </c>
      <c r="I22">
        <f t="shared" si="0"/>
        <v>2.5</v>
      </c>
      <c r="J22" t="s">
        <v>457</v>
      </c>
      <c r="K22" s="7" t="s">
        <v>123</v>
      </c>
      <c r="L22" t="s">
        <v>467</v>
      </c>
      <c r="M22" t="s">
        <v>457</v>
      </c>
      <c r="N22" s="12" t="s">
        <v>454</v>
      </c>
      <c r="O22" s="12" t="s">
        <v>225</v>
      </c>
      <c r="P22" s="12" t="s">
        <v>225</v>
      </c>
      <c r="Q22" s="12"/>
      <c r="V22" s="12">
        <v>3</v>
      </c>
    </row>
    <row r="23" spans="2:22" x14ac:dyDescent="0.3">
      <c r="B23" s="12" t="s">
        <v>336</v>
      </c>
      <c r="D23" s="10" t="s">
        <v>279</v>
      </c>
      <c r="E23" t="s">
        <v>363</v>
      </c>
      <c r="F23" t="s">
        <v>366</v>
      </c>
      <c r="G23" t="s">
        <v>123</v>
      </c>
      <c r="H23" s="12">
        <v>2</v>
      </c>
      <c r="I23">
        <f t="shared" si="0"/>
        <v>2.5</v>
      </c>
      <c r="J23" t="s">
        <v>457</v>
      </c>
      <c r="K23" s="7" t="s">
        <v>123</v>
      </c>
      <c r="L23" t="s">
        <v>467</v>
      </c>
      <c r="M23" t="s">
        <v>457</v>
      </c>
      <c r="N23" s="12" t="s">
        <v>456</v>
      </c>
      <c r="Q23" s="12"/>
      <c r="V23" s="12">
        <v>3</v>
      </c>
    </row>
    <row r="24" spans="2:22" x14ac:dyDescent="0.3">
      <c r="B24" s="12" t="s">
        <v>337</v>
      </c>
      <c r="D24" s="10" t="s">
        <v>345</v>
      </c>
      <c r="E24" t="s">
        <v>363</v>
      </c>
      <c r="F24" t="s">
        <v>364</v>
      </c>
      <c r="G24" t="s">
        <v>123</v>
      </c>
      <c r="H24" s="12">
        <v>2</v>
      </c>
      <c r="I24">
        <f t="shared" si="0"/>
        <v>2.5</v>
      </c>
      <c r="J24" t="s">
        <v>457</v>
      </c>
      <c r="K24" s="7" t="s">
        <v>123</v>
      </c>
      <c r="L24" t="s">
        <v>467</v>
      </c>
      <c r="M24" t="s">
        <v>457</v>
      </c>
      <c r="N24" s="12" t="s">
        <v>348</v>
      </c>
      <c r="O24" s="12" t="s">
        <v>225</v>
      </c>
      <c r="P24" s="12" t="s">
        <v>225</v>
      </c>
      <c r="Q24" s="12"/>
      <c r="V24" s="12">
        <v>3</v>
      </c>
    </row>
    <row r="25" spans="2:22" x14ac:dyDescent="0.3">
      <c r="B25" s="12" t="s">
        <v>338</v>
      </c>
      <c r="D25" s="10" t="s">
        <v>346</v>
      </c>
      <c r="E25" t="s">
        <v>363</v>
      </c>
      <c r="F25" t="s">
        <v>364</v>
      </c>
      <c r="G25" t="s">
        <v>123</v>
      </c>
      <c r="H25" s="12">
        <v>2</v>
      </c>
      <c r="I25">
        <f t="shared" si="0"/>
        <v>2.5</v>
      </c>
      <c r="J25" t="s">
        <v>457</v>
      </c>
      <c r="K25" s="7" t="s">
        <v>123</v>
      </c>
      <c r="L25" t="s">
        <v>467</v>
      </c>
      <c r="M25" t="s">
        <v>457</v>
      </c>
      <c r="N25" s="12" t="s">
        <v>455</v>
      </c>
      <c r="O25" s="12" t="s">
        <v>225</v>
      </c>
      <c r="P25" s="12" t="s">
        <v>225</v>
      </c>
      <c r="Q25" s="12"/>
      <c r="V25" s="12">
        <v>3</v>
      </c>
    </row>
    <row r="26" spans="2:22" x14ac:dyDescent="0.3">
      <c r="B26" s="12" t="s">
        <v>347</v>
      </c>
      <c r="D26" s="16" t="s">
        <v>348</v>
      </c>
      <c r="E26" t="s">
        <v>363</v>
      </c>
      <c r="G26" t="s">
        <v>307</v>
      </c>
      <c r="H26">
        <v>3</v>
      </c>
      <c r="I26">
        <f t="shared" si="0"/>
        <v>3.8000000000000003</v>
      </c>
      <c r="K26" s="7" t="s">
        <v>123</v>
      </c>
      <c r="L26" t="s">
        <v>362</v>
      </c>
      <c r="P26" s="12"/>
      <c r="Q26" s="12"/>
    </row>
    <row r="27" spans="2:22" x14ac:dyDescent="0.3">
      <c r="B27" s="12" t="s">
        <v>349</v>
      </c>
      <c r="D27" s="10" t="s">
        <v>350</v>
      </c>
      <c r="E27" t="s">
        <v>363</v>
      </c>
      <c r="G27" t="s">
        <v>307</v>
      </c>
      <c r="H27">
        <v>2</v>
      </c>
      <c r="I27">
        <f t="shared" si="0"/>
        <v>2.5</v>
      </c>
      <c r="K27" s="7" t="s">
        <v>123</v>
      </c>
      <c r="L27" t="s">
        <v>362</v>
      </c>
    </row>
    <row r="28" spans="2:22" x14ac:dyDescent="0.3">
      <c r="B28" s="12" t="s">
        <v>351</v>
      </c>
      <c r="D28" s="10" t="s">
        <v>352</v>
      </c>
      <c r="E28" t="s">
        <v>363</v>
      </c>
      <c r="G28" t="s">
        <v>307</v>
      </c>
      <c r="H28">
        <v>1</v>
      </c>
      <c r="I28">
        <v>1.5</v>
      </c>
      <c r="K28" s="7" t="s">
        <v>123</v>
      </c>
      <c r="L28" t="s">
        <v>362</v>
      </c>
    </row>
    <row r="29" spans="2:22" x14ac:dyDescent="0.3">
      <c r="B29" s="12" t="s">
        <v>353</v>
      </c>
      <c r="D29" s="10" t="s">
        <v>354</v>
      </c>
      <c r="E29" t="s">
        <v>363</v>
      </c>
      <c r="G29" t="s">
        <v>307</v>
      </c>
      <c r="H29">
        <v>1</v>
      </c>
      <c r="I29">
        <v>1.5</v>
      </c>
      <c r="K29" s="7" t="s">
        <v>123</v>
      </c>
      <c r="L29" t="s">
        <v>362</v>
      </c>
    </row>
    <row r="30" spans="2:22" x14ac:dyDescent="0.3">
      <c r="B30" s="12" t="s">
        <v>355</v>
      </c>
      <c r="D30" s="10" t="s">
        <v>356</v>
      </c>
      <c r="E30" t="s">
        <v>363</v>
      </c>
      <c r="G30" t="s">
        <v>307</v>
      </c>
      <c r="H30">
        <v>1</v>
      </c>
      <c r="I30">
        <v>1.5</v>
      </c>
      <c r="K30" s="7" t="s">
        <v>123</v>
      </c>
      <c r="L30" t="s">
        <v>362</v>
      </c>
    </row>
    <row r="31" spans="2:22" x14ac:dyDescent="0.3">
      <c r="B31" t="s">
        <v>357</v>
      </c>
      <c r="D31" s="10" t="s">
        <v>358</v>
      </c>
      <c r="E31" t="s">
        <v>363</v>
      </c>
      <c r="G31" t="s">
        <v>307</v>
      </c>
      <c r="H31">
        <v>1</v>
      </c>
      <c r="I31">
        <v>1.5</v>
      </c>
      <c r="K31" s="7" t="s">
        <v>123</v>
      </c>
      <c r="L31" t="s">
        <v>362</v>
      </c>
    </row>
    <row r="32" spans="2:22" x14ac:dyDescent="0.3">
      <c r="B32" s="12" t="s">
        <v>359</v>
      </c>
      <c r="D32" s="10" t="s">
        <v>360</v>
      </c>
      <c r="E32" t="s">
        <v>363</v>
      </c>
      <c r="G32" t="s">
        <v>361</v>
      </c>
      <c r="H32" s="11">
        <v>1</v>
      </c>
      <c r="I32">
        <v>1.5</v>
      </c>
      <c r="K32" s="7" t="s">
        <v>123</v>
      </c>
      <c r="L32" t="s">
        <v>362</v>
      </c>
    </row>
    <row r="33" spans="4:25" x14ac:dyDescent="0.3">
      <c r="D33" s="10" t="s">
        <v>480</v>
      </c>
      <c r="E33" t="s">
        <v>313</v>
      </c>
      <c r="G33" t="s">
        <v>465</v>
      </c>
      <c r="H33">
        <v>1</v>
      </c>
      <c r="I33">
        <v>1.5</v>
      </c>
      <c r="K33" s="7" t="s">
        <v>123</v>
      </c>
      <c r="L33" t="s">
        <v>478</v>
      </c>
      <c r="Y33" t="s">
        <v>481</v>
      </c>
    </row>
    <row r="34" spans="4:25" x14ac:dyDescent="0.3">
      <c r="D34" s="10" t="s">
        <v>492</v>
      </c>
      <c r="E34" t="s">
        <v>313</v>
      </c>
      <c r="G34" t="s">
        <v>465</v>
      </c>
      <c r="H34" s="12">
        <v>2</v>
      </c>
      <c r="I34">
        <f t="shared" ref="I34" si="1">ROUNDUP(H34*1.25,1)</f>
        <v>2.5</v>
      </c>
      <c r="K34" s="7" t="s">
        <v>123</v>
      </c>
      <c r="L34" t="s">
        <v>479</v>
      </c>
      <c r="M34" t="s">
        <v>493</v>
      </c>
      <c r="V34">
        <v>3</v>
      </c>
    </row>
  </sheetData>
  <mergeCells count="10">
    <mergeCell ref="G1:G2"/>
    <mergeCell ref="H1:K1"/>
    <mergeCell ref="L1:X1"/>
    <mergeCell ref="Y1:Y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C3CB-1DCB-441C-8B4D-B59A84E9C790}">
  <dimension ref="A1:U28"/>
  <sheetViews>
    <sheetView topLeftCell="D13" zoomScale="85" zoomScaleNormal="85" workbookViewId="0">
      <selection activeCell="I11" sqref="I11"/>
    </sheetView>
  </sheetViews>
  <sheetFormatPr defaultRowHeight="14" x14ac:dyDescent="0.3"/>
  <cols>
    <col min="2" max="2" width="27.83203125" customWidth="1"/>
    <col min="3" max="3" width="27.58203125" customWidth="1"/>
    <col min="4" max="4" width="14.08203125" customWidth="1"/>
    <col min="5" max="5" width="14" customWidth="1"/>
    <col min="6" max="6" width="13.75" customWidth="1"/>
    <col min="8" max="8" width="13.75" customWidth="1"/>
    <col min="9" max="9" width="11.5" customWidth="1"/>
    <col min="10" max="10" width="9.9140625" customWidth="1"/>
    <col min="21" max="21" width="20.58203125" customWidth="1"/>
  </cols>
  <sheetData>
    <row r="1" spans="1:21" s="9" customFormat="1" x14ac:dyDescent="0.3">
      <c r="A1" s="18" t="s">
        <v>0</v>
      </c>
      <c r="B1" s="18" t="s">
        <v>1</v>
      </c>
      <c r="C1" s="18" t="s">
        <v>3</v>
      </c>
      <c r="D1" s="18" t="s">
        <v>2</v>
      </c>
      <c r="E1" s="18" t="s">
        <v>310</v>
      </c>
      <c r="F1" s="18" t="s">
        <v>311</v>
      </c>
      <c r="G1" s="18" t="s">
        <v>4</v>
      </c>
      <c r="H1" s="18" t="s">
        <v>13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 t="s">
        <v>124</v>
      </c>
    </row>
    <row r="2" spans="1:21" s="9" customFormat="1" x14ac:dyDescent="0.3">
      <c r="A2" s="18"/>
      <c r="B2" s="18"/>
      <c r="C2" s="18"/>
      <c r="D2" s="18"/>
      <c r="E2" s="18"/>
      <c r="F2" s="18"/>
      <c r="G2" s="18"/>
      <c r="H2" s="9" t="s">
        <v>12</v>
      </c>
      <c r="I2" s="9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9">
        <v>7</v>
      </c>
      <c r="P2" s="9">
        <v>8</v>
      </c>
      <c r="Q2" s="9">
        <v>9</v>
      </c>
      <c r="R2" s="9" t="s">
        <v>299</v>
      </c>
      <c r="S2" s="9" t="s">
        <v>14</v>
      </c>
      <c r="T2" s="9" t="s">
        <v>15</v>
      </c>
      <c r="U2" s="18"/>
    </row>
    <row r="3" spans="1:21" x14ac:dyDescent="0.3">
      <c r="B3" s="12" t="s">
        <v>367</v>
      </c>
      <c r="D3" s="17" t="s">
        <v>228</v>
      </c>
      <c r="H3" t="s">
        <v>502</v>
      </c>
      <c r="I3" t="s">
        <v>503</v>
      </c>
      <c r="R3">
        <v>1</v>
      </c>
    </row>
    <row r="4" spans="1:21" x14ac:dyDescent="0.3">
      <c r="B4" s="12" t="s">
        <v>368</v>
      </c>
      <c r="D4" s="4" t="s">
        <v>390</v>
      </c>
      <c r="H4" t="s">
        <v>469</v>
      </c>
      <c r="I4" t="s">
        <v>499</v>
      </c>
      <c r="J4" t="s">
        <v>500</v>
      </c>
      <c r="K4" t="s">
        <v>500</v>
      </c>
      <c r="L4" t="s">
        <v>500</v>
      </c>
    </row>
    <row r="5" spans="1:21" x14ac:dyDescent="0.3">
      <c r="B5" s="12" t="s">
        <v>369</v>
      </c>
      <c r="D5" s="4" t="s">
        <v>474</v>
      </c>
      <c r="H5" t="s">
        <v>411</v>
      </c>
      <c r="I5" t="s">
        <v>415</v>
      </c>
      <c r="J5" t="s">
        <v>413</v>
      </c>
      <c r="K5" t="s">
        <v>413</v>
      </c>
      <c r="L5" t="s">
        <v>413</v>
      </c>
    </row>
    <row r="6" spans="1:21" x14ac:dyDescent="0.3">
      <c r="B6" s="12" t="s">
        <v>370</v>
      </c>
      <c r="D6" s="4" t="s">
        <v>391</v>
      </c>
      <c r="H6" t="s">
        <v>467</v>
      </c>
      <c r="I6" t="s">
        <v>412</v>
      </c>
      <c r="J6" t="s">
        <v>418</v>
      </c>
      <c r="K6" t="s">
        <v>417</v>
      </c>
    </row>
    <row r="7" spans="1:21" x14ac:dyDescent="0.3">
      <c r="B7" s="12" t="s">
        <v>371</v>
      </c>
      <c r="D7" s="4" t="s">
        <v>392</v>
      </c>
      <c r="H7" t="s">
        <v>467</v>
      </c>
      <c r="I7" t="s">
        <v>419</v>
      </c>
    </row>
    <row r="8" spans="1:21" x14ac:dyDescent="0.3">
      <c r="B8" s="12" t="s">
        <v>372</v>
      </c>
      <c r="D8" s="4" t="s">
        <v>393</v>
      </c>
      <c r="H8" t="s">
        <v>482</v>
      </c>
      <c r="I8" t="s">
        <v>420</v>
      </c>
    </row>
    <row r="9" spans="1:21" x14ac:dyDescent="0.3">
      <c r="B9" s="12" t="s">
        <v>373</v>
      </c>
      <c r="D9" s="4" t="s">
        <v>247</v>
      </c>
      <c r="H9" t="s">
        <v>482</v>
      </c>
      <c r="I9" t="s">
        <v>421</v>
      </c>
    </row>
    <row r="10" spans="1:21" x14ac:dyDescent="0.3">
      <c r="B10" s="12" t="s">
        <v>374</v>
      </c>
      <c r="D10" s="4" t="s">
        <v>271</v>
      </c>
      <c r="H10" t="s">
        <v>467</v>
      </c>
      <c r="I10" t="s">
        <v>414</v>
      </c>
      <c r="J10" t="s">
        <v>414</v>
      </c>
      <c r="K10" t="s">
        <v>422</v>
      </c>
      <c r="L10" t="s">
        <v>423</v>
      </c>
      <c r="R10">
        <v>3</v>
      </c>
    </row>
    <row r="11" spans="1:21" x14ac:dyDescent="0.3">
      <c r="B11" s="12" t="s">
        <v>375</v>
      </c>
      <c r="D11" s="10" t="s">
        <v>394</v>
      </c>
      <c r="H11" t="s">
        <v>475</v>
      </c>
      <c r="I11" t="s">
        <v>424</v>
      </c>
      <c r="J11" t="s">
        <v>425</v>
      </c>
      <c r="K11" t="s">
        <v>424</v>
      </c>
    </row>
    <row r="12" spans="1:21" x14ac:dyDescent="0.3">
      <c r="B12" s="12" t="s">
        <v>376</v>
      </c>
      <c r="D12" s="10" t="s">
        <v>395</v>
      </c>
      <c r="H12" t="s">
        <v>467</v>
      </c>
      <c r="I12" t="s">
        <v>426</v>
      </c>
      <c r="J12" t="s">
        <v>426</v>
      </c>
      <c r="K12" t="s">
        <v>427</v>
      </c>
      <c r="L12" t="s">
        <v>428</v>
      </c>
      <c r="M12" t="s">
        <v>428</v>
      </c>
      <c r="N12" t="s">
        <v>429</v>
      </c>
      <c r="O12" t="s">
        <v>410</v>
      </c>
    </row>
    <row r="13" spans="1:21" x14ac:dyDescent="0.3">
      <c r="B13" s="12" t="s">
        <v>377</v>
      </c>
      <c r="D13" s="4" t="s">
        <v>224</v>
      </c>
      <c r="H13" t="s">
        <v>482</v>
      </c>
      <c r="I13" t="s">
        <v>431</v>
      </c>
      <c r="J13" t="s">
        <v>432</v>
      </c>
    </row>
    <row r="14" spans="1:21" x14ac:dyDescent="0.3">
      <c r="B14" s="12" t="s">
        <v>378</v>
      </c>
      <c r="D14" s="4" t="s">
        <v>396</v>
      </c>
      <c r="H14" t="s">
        <v>482</v>
      </c>
      <c r="I14" t="s">
        <v>433</v>
      </c>
    </row>
    <row r="15" spans="1:21" x14ac:dyDescent="0.3">
      <c r="B15" s="12" t="s">
        <v>379</v>
      </c>
      <c r="D15" s="4" t="s">
        <v>397</v>
      </c>
      <c r="H15" t="s">
        <v>467</v>
      </c>
      <c r="I15" t="s">
        <v>434</v>
      </c>
      <c r="J15" t="s">
        <v>423</v>
      </c>
      <c r="K15" t="s">
        <v>412</v>
      </c>
    </row>
    <row r="16" spans="1:21" x14ac:dyDescent="0.3">
      <c r="B16" s="12" t="s">
        <v>380</v>
      </c>
      <c r="D16" s="4" t="s">
        <v>398</v>
      </c>
      <c r="H16" t="s">
        <v>467</v>
      </c>
      <c r="I16" t="s">
        <v>409</v>
      </c>
      <c r="J16" t="s">
        <v>409</v>
      </c>
      <c r="K16" t="s">
        <v>409</v>
      </c>
      <c r="L16" t="s">
        <v>416</v>
      </c>
    </row>
    <row r="17" spans="2:13" x14ac:dyDescent="0.3">
      <c r="B17" s="12" t="s">
        <v>381</v>
      </c>
      <c r="D17" s="13" t="s">
        <v>399</v>
      </c>
    </row>
    <row r="18" spans="2:13" x14ac:dyDescent="0.3">
      <c r="B18" s="12" t="s">
        <v>382</v>
      </c>
      <c r="D18" s="13" t="s">
        <v>286</v>
      </c>
    </row>
    <row r="19" spans="2:13" x14ac:dyDescent="0.3">
      <c r="B19" s="12" t="s">
        <v>383</v>
      </c>
      <c r="D19" s="10" t="s">
        <v>400</v>
      </c>
      <c r="H19" t="s">
        <v>467</v>
      </c>
      <c r="I19" t="s">
        <v>409</v>
      </c>
      <c r="J19" t="s">
        <v>409</v>
      </c>
      <c r="K19" t="s">
        <v>436</v>
      </c>
      <c r="L19" t="s">
        <v>408</v>
      </c>
    </row>
    <row r="20" spans="2:13" x14ac:dyDescent="0.3">
      <c r="B20" s="12" t="s">
        <v>384</v>
      </c>
      <c r="D20" s="13" t="s">
        <v>267</v>
      </c>
      <c r="H20" t="s">
        <v>467</v>
      </c>
      <c r="I20" t="s">
        <v>422</v>
      </c>
      <c r="J20" t="s">
        <v>432</v>
      </c>
    </row>
    <row r="21" spans="2:13" x14ac:dyDescent="0.3">
      <c r="B21" s="12" t="s">
        <v>385</v>
      </c>
      <c r="D21" s="13" t="s">
        <v>402</v>
      </c>
      <c r="H21" t="s">
        <v>482</v>
      </c>
      <c r="I21" t="s">
        <v>437</v>
      </c>
    </row>
    <row r="22" spans="2:13" x14ac:dyDescent="0.3">
      <c r="B22" s="12" t="s">
        <v>386</v>
      </c>
      <c r="D22" s="13" t="s">
        <v>403</v>
      </c>
      <c r="H22" t="s">
        <v>467</v>
      </c>
      <c r="I22" t="s">
        <v>438</v>
      </c>
      <c r="J22" t="s">
        <v>439</v>
      </c>
      <c r="K22" t="s">
        <v>429</v>
      </c>
      <c r="L22" t="s">
        <v>440</v>
      </c>
      <c r="M22" t="s">
        <v>430</v>
      </c>
    </row>
    <row r="23" spans="2:13" x14ac:dyDescent="0.3">
      <c r="B23" s="12" t="s">
        <v>387</v>
      </c>
      <c r="D23" s="17" t="s">
        <v>404</v>
      </c>
      <c r="H23" t="s">
        <v>469</v>
      </c>
      <c r="I23" t="s">
        <v>470</v>
      </c>
      <c r="J23" t="s">
        <v>472</v>
      </c>
      <c r="K23" t="s">
        <v>473</v>
      </c>
      <c r="L23" t="s">
        <v>473</v>
      </c>
    </row>
    <row r="24" spans="2:13" x14ac:dyDescent="0.3">
      <c r="B24" s="12" t="s">
        <v>388</v>
      </c>
      <c r="D24" s="4" t="s">
        <v>405</v>
      </c>
      <c r="H24" t="s">
        <v>411</v>
      </c>
      <c r="I24" t="s">
        <v>437</v>
      </c>
      <c r="J24" t="s">
        <v>472</v>
      </c>
      <c r="K24" t="s">
        <v>473</v>
      </c>
      <c r="L24" t="s">
        <v>473</v>
      </c>
    </row>
    <row r="25" spans="2:13" x14ac:dyDescent="0.3">
      <c r="B25" s="12" t="s">
        <v>442</v>
      </c>
      <c r="D25" s="4" t="s">
        <v>441</v>
      </c>
      <c r="H25" t="s">
        <v>411</v>
      </c>
      <c r="I25" t="s">
        <v>443</v>
      </c>
      <c r="J25" t="s">
        <v>472</v>
      </c>
      <c r="K25" t="s">
        <v>473</v>
      </c>
      <c r="L25" t="s">
        <v>473</v>
      </c>
    </row>
    <row r="26" spans="2:13" x14ac:dyDescent="0.3">
      <c r="B26" s="13" t="s">
        <v>389</v>
      </c>
      <c r="D26" s="4" t="s">
        <v>406</v>
      </c>
      <c r="H26" t="s">
        <v>467</v>
      </c>
      <c r="I26" t="s">
        <v>468</v>
      </c>
    </row>
    <row r="27" spans="2:13" x14ac:dyDescent="0.3">
      <c r="D27" s="4" t="s">
        <v>500</v>
      </c>
      <c r="H27" t="s">
        <v>469</v>
      </c>
      <c r="I27" t="s">
        <v>488</v>
      </c>
      <c r="J27" t="s">
        <v>501</v>
      </c>
      <c r="K27" t="s">
        <v>501</v>
      </c>
      <c r="L27" t="s">
        <v>501</v>
      </c>
    </row>
    <row r="28" spans="2:13" x14ac:dyDescent="0.3"/>
  </sheetData>
  <mergeCells count="9">
    <mergeCell ref="G1:G2"/>
    <mergeCell ref="H1:T1"/>
    <mergeCell ref="U1:U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DC94-4FF6-4DAD-AB13-959795F3C4A0}">
  <dimension ref="A1:Q10"/>
  <sheetViews>
    <sheetView workbookViewId="0">
      <selection activeCell="D5" sqref="D5"/>
    </sheetView>
  </sheetViews>
  <sheetFormatPr defaultRowHeight="14" x14ac:dyDescent="0.3"/>
  <cols>
    <col min="2" max="2" width="27.83203125" customWidth="1"/>
    <col min="3" max="3" width="13.75" customWidth="1"/>
    <col min="4" max="4" width="8.25" customWidth="1"/>
    <col min="5" max="5" width="11.5" customWidth="1"/>
    <col min="6" max="6" width="9.9140625" customWidth="1"/>
    <col min="17" max="17" width="20.58203125" customWidth="1"/>
  </cols>
  <sheetData>
    <row r="1" spans="1:17" x14ac:dyDescent="0.3">
      <c r="A1" s="18" t="s">
        <v>0</v>
      </c>
      <c r="B1" s="18" t="s">
        <v>1</v>
      </c>
      <c r="C1" s="18" t="s">
        <v>2</v>
      </c>
      <c r="D1" s="18" t="s">
        <v>13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 t="s">
        <v>124</v>
      </c>
    </row>
    <row r="2" spans="1:17" x14ac:dyDescent="0.3">
      <c r="A2" s="18"/>
      <c r="B2" s="18"/>
      <c r="C2" s="18"/>
      <c r="D2" s="9" t="s">
        <v>12</v>
      </c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 t="s">
        <v>299</v>
      </c>
      <c r="O2" s="9" t="s">
        <v>14</v>
      </c>
      <c r="P2" s="9" t="s">
        <v>15</v>
      </c>
      <c r="Q2" s="18"/>
    </row>
    <row r="3" spans="1:17" x14ac:dyDescent="0.3">
      <c r="B3" t="s">
        <v>459</v>
      </c>
      <c r="C3" t="s">
        <v>217</v>
      </c>
      <c r="D3" t="s">
        <v>458</v>
      </c>
      <c r="E3" s="11" t="s">
        <v>473</v>
      </c>
      <c r="F3" s="11" t="s">
        <v>247</v>
      </c>
      <c r="G3" s="11" t="s">
        <v>435</v>
      </c>
      <c r="N3">
        <v>1</v>
      </c>
    </row>
    <row r="4" spans="1:17" x14ac:dyDescent="0.3">
      <c r="B4" t="s">
        <v>462</v>
      </c>
      <c r="C4" s="4" t="s">
        <v>460</v>
      </c>
      <c r="D4" t="s">
        <v>458</v>
      </c>
      <c r="E4" s="13" t="s">
        <v>461</v>
      </c>
      <c r="F4" s="13" t="s">
        <v>461</v>
      </c>
      <c r="N4">
        <v>2</v>
      </c>
    </row>
    <row r="6" spans="1:17" x14ac:dyDescent="0.3">
      <c r="C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7" x14ac:dyDescent="0.3"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7" x14ac:dyDescent="0.3">
      <c r="C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7" x14ac:dyDescent="0.3">
      <c r="C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7" x14ac:dyDescent="0.3">
      <c r="C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</sheetData>
  <mergeCells count="5">
    <mergeCell ref="A1:A2"/>
    <mergeCell ref="B1:B2"/>
    <mergeCell ref="C1:C2"/>
    <mergeCell ref="D1:P1"/>
    <mergeCell ref="Q1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舰R食物（可放置）</vt:lpstr>
      <vt:lpstr>物品食物</vt:lpstr>
      <vt:lpstr>食材和调料</vt:lpstr>
      <vt:lpstr>新增原版合成及标签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Lehua Deng</dc:creator>
  <cp:lastModifiedBy>unicorn</cp:lastModifiedBy>
  <dcterms:created xsi:type="dcterms:W3CDTF">2015-06-05T18:19:34Z</dcterms:created>
  <dcterms:modified xsi:type="dcterms:W3CDTF">2022-07-31T15:13:54Z</dcterms:modified>
</cp:coreProperties>
</file>