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077D965-5D49-4A54-8A19-0B76B082263A}" xr6:coauthVersionLast="36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舰船数据表" sheetId="1" r:id="rId1"/>
  </sheets>
  <calcPr calcId="179021"/>
</workbook>
</file>

<file path=xl/calcChain.xml><?xml version="1.0" encoding="utf-8"?>
<calcChain xmlns="http://schemas.openxmlformats.org/spreadsheetml/2006/main">
  <c r="E155" i="1" l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54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E144" i="1" l="1"/>
  <c r="E143" i="1"/>
  <c r="E124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E19" i="1"/>
  <c r="E20" i="1"/>
  <c r="G20" i="1" s="1"/>
  <c r="E21" i="1"/>
  <c r="E22" i="1"/>
  <c r="E23" i="1"/>
  <c r="E24" i="1"/>
  <c r="E25" i="1"/>
  <c r="E26" i="1"/>
  <c r="E27" i="1"/>
  <c r="E28" i="1"/>
  <c r="G28" i="1" s="1"/>
  <c r="E29" i="1"/>
  <c r="E30" i="1"/>
  <c r="E31" i="1"/>
  <c r="E32" i="1"/>
  <c r="E33" i="1"/>
  <c r="E34" i="1"/>
  <c r="E35" i="1"/>
  <c r="E36" i="1"/>
  <c r="G36" i="1" s="1"/>
  <c r="E37" i="1"/>
  <c r="E38" i="1"/>
  <c r="E39" i="1"/>
  <c r="E40" i="1"/>
  <c r="E41" i="1"/>
  <c r="E42" i="1"/>
  <c r="E43" i="1"/>
  <c r="G40" i="1" l="1"/>
  <c r="G32" i="1"/>
  <c r="G24" i="1"/>
  <c r="G43" i="1"/>
  <c r="G35" i="1"/>
  <c r="G27" i="1"/>
  <c r="G19" i="1"/>
  <c r="G41" i="1"/>
  <c r="G33" i="1"/>
  <c r="G25" i="1"/>
  <c r="G42" i="1"/>
  <c r="G34" i="1"/>
  <c r="G26" i="1"/>
  <c r="G38" i="1"/>
  <c r="G30" i="1"/>
  <c r="G22" i="1"/>
  <c r="G39" i="1"/>
  <c r="G31" i="1"/>
  <c r="G23" i="1"/>
  <c r="G37" i="1"/>
  <c r="G29" i="1"/>
  <c r="G21" i="1"/>
  <c r="D49" i="1" l="1"/>
  <c r="D50" i="1"/>
  <c r="D51" i="1"/>
  <c r="D52" i="1"/>
  <c r="D53" i="1"/>
  <c r="D54" i="1"/>
  <c r="D55" i="1"/>
  <c r="D56" i="1"/>
  <c r="D57" i="1"/>
  <c r="C49" i="1"/>
  <c r="C50" i="1"/>
  <c r="C51" i="1"/>
  <c r="C52" i="1"/>
  <c r="C53" i="1"/>
  <c r="C54" i="1"/>
  <c r="C55" i="1"/>
  <c r="C56" i="1"/>
  <c r="C57" i="1"/>
  <c r="D48" i="1"/>
  <c r="C4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B154" i="1"/>
</calcChain>
</file>

<file path=xl/sharedStrings.xml><?xml version="1.0" encoding="utf-8"?>
<sst xmlns="http://schemas.openxmlformats.org/spreadsheetml/2006/main" count="168" uniqueCount="165">
  <si>
    <r>
      <t>3/</t>
    </r>
    <r>
      <rPr>
        <sz val="11"/>
        <color rgb="FF000000"/>
        <rFont val="宋体"/>
        <charset val="134"/>
      </rPr>
      <t>咬</t>
    </r>
  </si>
  <si>
    <r>
      <t>2/</t>
    </r>
    <r>
      <rPr>
        <sz val="11"/>
        <color rgb="FF000000"/>
        <rFont val="宋体"/>
        <charset val="134"/>
      </rPr>
      <t>咬</t>
    </r>
  </si>
  <si>
    <r>
      <t>5/</t>
    </r>
    <r>
      <rPr>
        <sz val="11"/>
        <color rgb="FF000000"/>
        <rFont val="宋体"/>
        <charset val="134"/>
      </rPr>
      <t>咬</t>
    </r>
  </si>
  <si>
    <t>C-1</t>
  </si>
  <si>
    <t>cost</t>
  </si>
  <si>
    <t>28inch=&gt;720mm</t>
  </si>
  <si>
    <r>
      <t>MK14</t>
    </r>
    <r>
      <rPr>
        <sz val="11"/>
        <color rgb="FF000000"/>
        <rFont val="宋体"/>
        <charset val="134"/>
      </rPr>
      <t>（鱼叉）发射器</t>
    </r>
  </si>
  <si>
    <r>
      <rPr>
        <sz val="11"/>
        <color rgb="FF000000"/>
        <rFont val="宋体"/>
        <charset val="134"/>
      </rPr>
      <t>由于表格计算的问题不便输入负号，没有特殊注明的</t>
    </r>
    <r>
      <rPr>
        <sz val="11"/>
        <color rgb="FF000000"/>
        <rFont val="Tahoma"/>
      </rPr>
      <t>cost</t>
    </r>
    <r>
      <rPr>
        <sz val="11"/>
        <color rgb="FF000000"/>
        <rFont val="宋体"/>
        <charset val="134"/>
      </rPr>
      <t>一律是指扣除（消耗）</t>
    </r>
  </si>
  <si>
    <r>
      <t>21inch=</t>
    </r>
    <r>
      <rPr>
        <sz val="11"/>
        <color rgb="FF000000"/>
        <rFont val="宋体"/>
        <charset val="134"/>
      </rPr>
      <t>》</t>
    </r>
    <r>
      <rPr>
        <sz val="11"/>
        <color rgb="FF000000"/>
        <rFont val="Tahoma"/>
      </rPr>
      <t>533mm</t>
    </r>
  </si>
  <si>
    <r>
      <t>24inch=</t>
    </r>
    <r>
      <rPr>
        <sz val="11"/>
        <color rgb="FF000000"/>
        <rFont val="宋体"/>
        <charset val="134"/>
      </rPr>
      <t>》</t>
    </r>
    <r>
      <rPr>
        <sz val="11"/>
        <color rgb="FF000000"/>
        <rFont val="Tahoma"/>
      </rPr>
      <t>610mm</t>
    </r>
  </si>
  <si>
    <r>
      <rPr>
        <sz val="11"/>
        <color rgb="FF000000"/>
        <rFont val="宋体"/>
        <charset val="134"/>
      </rPr>
      <t>鱼雷口径</t>
    </r>
  </si>
  <si>
    <r>
      <rPr>
        <sz val="11"/>
        <color rgb="FF000000"/>
        <rFont val="宋体"/>
        <charset val="134"/>
      </rPr>
      <t>鱼雷联装</t>
    </r>
  </si>
  <si>
    <r>
      <rPr>
        <sz val="11"/>
        <color rgb="FF000000"/>
        <rFont val="宋体"/>
        <charset val="134"/>
      </rPr>
      <t>常规鱼雷</t>
    </r>
    <r>
      <rPr>
        <sz val="11"/>
        <color rgb="FF000000"/>
        <rFont val="Tahoma"/>
      </rPr>
      <t>cost</t>
    </r>
  </si>
  <si>
    <r>
      <rPr>
        <sz val="11"/>
        <color rgb="FF000000"/>
        <rFont val="宋体"/>
        <charset val="134"/>
      </rPr>
      <t>氧气鱼雷</t>
    </r>
    <r>
      <rPr>
        <sz val="11"/>
        <color rgb="FF000000"/>
        <rFont val="Tahoma"/>
      </rPr>
      <t>cost</t>
    </r>
  </si>
  <si>
    <r>
      <rPr>
        <sz val="11"/>
        <color rgb="FF000000"/>
        <rFont val="宋体"/>
        <charset val="134"/>
      </rPr>
      <t>导弹火箭类武器</t>
    </r>
  </si>
  <si>
    <r>
      <rPr>
        <sz val="11"/>
        <color rgb="FF000000"/>
        <rFont val="宋体"/>
        <charset val="134"/>
      </rPr>
      <t>上游一号发射器</t>
    </r>
  </si>
  <si>
    <r>
      <rPr>
        <sz val="11"/>
        <color rgb="FF000000"/>
        <rFont val="宋体"/>
        <charset val="134"/>
      </rPr>
      <t>小猎犬发射器</t>
    </r>
  </si>
  <si>
    <r>
      <rPr>
        <sz val="11"/>
        <color rgb="FF000000"/>
        <rFont val="宋体"/>
        <charset val="134"/>
      </rPr>
      <t>舰载火箭弹</t>
    </r>
  </si>
  <si>
    <r>
      <rPr>
        <sz val="11"/>
        <color rgb="FF000000"/>
        <rFont val="宋体"/>
        <charset val="134"/>
      </rPr>
      <t>箭型防空导弹</t>
    </r>
  </si>
  <si>
    <r>
      <rPr>
        <sz val="11"/>
        <color rgb="FF000000"/>
        <rFont val="宋体"/>
        <charset val="134"/>
      </rPr>
      <t>海猫防空导弹</t>
    </r>
  </si>
  <si>
    <r>
      <rPr>
        <sz val="11"/>
        <color rgb="FF000000"/>
        <rFont val="宋体"/>
        <charset val="134"/>
      </rPr>
      <t>飞机</t>
    </r>
  </si>
  <si>
    <r>
      <rPr>
        <sz val="11"/>
        <color rgb="FF000000"/>
        <rFont val="宋体"/>
        <charset val="134"/>
      </rPr>
      <t>舰</t>
    </r>
    <r>
      <rPr>
        <sz val="11"/>
        <color rgb="FF000000"/>
        <rFont val="Tahoma"/>
      </rPr>
      <t>r</t>
    </r>
    <r>
      <rPr>
        <sz val="11"/>
        <color rgb="FF000000"/>
        <rFont val="宋体"/>
        <charset val="134"/>
      </rPr>
      <t>铝耗</t>
    </r>
    <r>
      <rPr>
        <sz val="11"/>
        <color rgb="FF000000"/>
        <rFont val="Tahoma"/>
      </rPr>
      <t>*3</t>
    </r>
  </si>
  <si>
    <r>
      <rPr>
        <sz val="11"/>
        <color rgb="FF000000"/>
        <rFont val="宋体"/>
        <charset val="134"/>
      </rPr>
      <t>强化装备</t>
    </r>
  </si>
  <si>
    <r>
      <rPr>
        <sz val="11"/>
        <color rgb="FF000000"/>
        <rFont val="宋体"/>
        <charset val="134"/>
      </rPr>
      <t>标准型动力系统</t>
    </r>
  </si>
  <si>
    <r>
      <rPr>
        <sz val="11"/>
        <color rgb="FF000000"/>
        <rFont val="宋体"/>
        <charset val="134"/>
      </rPr>
      <t>改良型动力系统</t>
    </r>
  </si>
  <si>
    <r>
      <rPr>
        <sz val="11"/>
        <color rgb="FF000000"/>
        <rFont val="宋体"/>
        <charset val="134"/>
      </rPr>
      <t>先进型动力系统</t>
    </r>
  </si>
  <si>
    <r>
      <rPr>
        <sz val="11"/>
        <color rgb="FF000000"/>
        <rFont val="宋体"/>
        <charset val="134"/>
      </rPr>
      <t>高温高压锅炉</t>
    </r>
  </si>
  <si>
    <r>
      <rPr>
        <sz val="11"/>
        <color rgb="FF000000"/>
        <rFont val="宋体"/>
        <charset val="134"/>
      </rPr>
      <t>小型附加装甲</t>
    </r>
  </si>
  <si>
    <r>
      <rPr>
        <sz val="11"/>
        <color rgb="FF000000"/>
        <rFont val="宋体"/>
        <charset val="134"/>
      </rPr>
      <t>中型附加装甲</t>
    </r>
  </si>
  <si>
    <r>
      <rPr>
        <sz val="11"/>
        <color rgb="FF000000"/>
        <rFont val="宋体"/>
        <charset val="134"/>
      </rPr>
      <t>大型附加装甲</t>
    </r>
  </si>
  <si>
    <r>
      <rPr>
        <sz val="11"/>
        <color rgb="FF000000"/>
        <rFont val="宋体"/>
        <charset val="134"/>
      </rPr>
      <t>多层装甲</t>
    </r>
  </si>
  <si>
    <r>
      <rPr>
        <sz val="11"/>
        <color rgb="FF000000"/>
        <rFont val="宋体"/>
        <charset val="134"/>
      </rPr>
      <t>消声瓦</t>
    </r>
  </si>
  <si>
    <r>
      <rPr>
        <sz val="11"/>
        <color rgb="FF000000"/>
        <rFont val="宋体"/>
        <charset val="134"/>
      </rPr>
      <t>生姜鱼饼</t>
    </r>
  </si>
  <si>
    <r>
      <rPr>
        <sz val="11"/>
        <color rgb="FF000000"/>
        <rFont val="宋体"/>
        <charset val="134"/>
      </rPr>
      <t>通气管（潜艇）</t>
    </r>
  </si>
  <si>
    <r>
      <rPr>
        <sz val="11"/>
        <color rgb="FF000000"/>
        <rFont val="宋体"/>
        <charset val="134"/>
      </rPr>
      <t>快速装填系统</t>
    </r>
  </si>
  <si>
    <r>
      <rPr>
        <sz val="11"/>
        <color rgb="FF000000"/>
        <rFont val="宋体"/>
        <charset val="134"/>
      </rPr>
      <t>神秘电子设备</t>
    </r>
  </si>
  <si>
    <r>
      <rPr>
        <sz val="11"/>
        <color rgb="FF000000"/>
        <rFont val="宋体"/>
        <charset val="134"/>
      </rPr>
      <t>损害管制（灭火器）</t>
    </r>
  </si>
  <si>
    <r>
      <rPr>
        <sz val="11"/>
        <color rgb="FF000000"/>
        <rFont val="宋体"/>
        <charset val="134"/>
      </rPr>
      <t>神秘武器</t>
    </r>
  </si>
  <si>
    <r>
      <rPr>
        <sz val="11"/>
        <color rgb="FF000000"/>
        <rFont val="宋体"/>
        <charset val="134"/>
      </rPr>
      <t>发烟筒</t>
    </r>
  </si>
  <si>
    <r>
      <rPr>
        <sz val="11"/>
        <color rgb="FF000000"/>
        <rFont val="宋体"/>
        <charset val="134"/>
      </rPr>
      <t>标准型深水炸弹投射器</t>
    </r>
  </si>
  <si>
    <r>
      <rPr>
        <sz val="11"/>
        <color rgb="FF000000"/>
        <rFont val="宋体"/>
        <charset val="134"/>
      </rPr>
      <t>改良型深水炸弹投射器</t>
    </r>
  </si>
  <si>
    <r>
      <rPr>
        <sz val="11"/>
        <color rgb="FF000000"/>
        <rFont val="宋体"/>
        <charset val="134"/>
      </rPr>
      <t>先进型深水炸弹投射器（乌贼弹）</t>
    </r>
  </si>
  <si>
    <r>
      <rPr>
        <sz val="11"/>
        <color rgb="FF000000"/>
        <rFont val="宋体"/>
        <charset val="134"/>
      </rPr>
      <t>舰船及鱼雷航速参考比例</t>
    </r>
  </si>
  <si>
    <r>
      <rPr>
        <sz val="11"/>
        <color rgb="FF000000"/>
        <rFont val="宋体"/>
        <charset val="134"/>
      </rPr>
      <t>实体</t>
    </r>
  </si>
  <si>
    <r>
      <rPr>
        <sz val="11"/>
        <color rgb="FF000000"/>
        <rFont val="宋体"/>
        <charset val="134"/>
      </rPr>
      <t>伤害</t>
    </r>
  </si>
  <si>
    <r>
      <rPr>
        <sz val="11"/>
        <color rgb="FF000000"/>
        <rFont val="宋体"/>
        <charset val="134"/>
      </rPr>
      <t>耐久（血）</t>
    </r>
  </si>
  <si>
    <r>
      <rPr>
        <sz val="11"/>
        <color rgb="FF000000"/>
        <rFont val="宋体"/>
        <charset val="134"/>
      </rPr>
      <t>剑鱼</t>
    </r>
    <r>
      <rPr>
        <sz val="11"/>
        <color rgb="FF000000"/>
        <rFont val="Tahoma"/>
      </rPr>
      <t xml:space="preserve"> </t>
    </r>
    <r>
      <rPr>
        <sz val="11"/>
        <color rgb="FF000000"/>
        <rFont val="宋体"/>
        <charset val="134"/>
      </rPr>
      <t>鱼雷</t>
    </r>
  </si>
  <si>
    <r>
      <t>1*533</t>
    </r>
    <r>
      <rPr>
        <sz val="11"/>
        <color rgb="FF000000"/>
        <rFont val="宋体"/>
        <charset val="134"/>
      </rPr>
      <t>鱼雷</t>
    </r>
    <r>
      <rPr>
        <sz val="11"/>
        <color rgb="FF000000"/>
        <rFont val="Tahoma"/>
      </rPr>
      <t>18</t>
    </r>
  </si>
  <si>
    <r>
      <rPr>
        <sz val="11"/>
        <color rgb="FF000000"/>
        <rFont val="宋体"/>
        <charset val="134"/>
      </rPr>
      <t>剑鱼</t>
    </r>
    <r>
      <rPr>
        <sz val="11"/>
        <color rgb="FF000000"/>
        <rFont val="Tahoma"/>
      </rPr>
      <t xml:space="preserve"> </t>
    </r>
    <r>
      <rPr>
        <sz val="11"/>
        <color rgb="FF000000"/>
        <rFont val="宋体"/>
        <charset val="134"/>
      </rPr>
      <t>反潜</t>
    </r>
  </si>
  <si>
    <r>
      <rPr>
        <sz val="11"/>
        <color rgb="FF000000"/>
        <rFont val="Tahoma"/>
      </rPr>
      <t>6*</t>
    </r>
    <r>
      <rPr>
        <sz val="11"/>
        <color rgb="FF000000"/>
        <rFont val="宋体"/>
        <charset val="134"/>
      </rPr>
      <t>深弹</t>
    </r>
    <r>
      <rPr>
        <sz val="11"/>
        <color rgb="FF000000"/>
        <rFont val="Tahoma"/>
      </rPr>
      <t>8</t>
    </r>
  </si>
  <si>
    <r>
      <rPr>
        <sz val="11"/>
        <color rgb="FF000000"/>
        <rFont val="宋体"/>
        <charset val="134"/>
      </rPr>
      <t>海燕</t>
    </r>
    <r>
      <rPr>
        <sz val="11"/>
        <color rgb="FF000000"/>
        <rFont val="Tahoma"/>
      </rPr>
      <t xml:space="preserve"> </t>
    </r>
    <r>
      <rPr>
        <sz val="11"/>
        <color rgb="FF000000"/>
        <rFont val="宋体"/>
        <charset val="134"/>
      </rPr>
      <t>轰炸</t>
    </r>
  </si>
  <si>
    <r>
      <t>1/</t>
    </r>
    <r>
      <rPr>
        <sz val="11"/>
        <color rgb="FF000000"/>
        <rFont val="宋体"/>
        <charset val="134"/>
      </rPr>
      <t>咬；俯冲轰炸</t>
    </r>
    <r>
      <rPr>
        <sz val="11"/>
        <color rgb="FF000000"/>
        <rFont val="Tahoma"/>
      </rPr>
      <t>10</t>
    </r>
  </si>
  <si>
    <r>
      <rPr>
        <sz val="11"/>
        <color rgb="FF000000"/>
        <rFont val="宋体"/>
        <charset val="134"/>
      </rPr>
      <t>景云</t>
    </r>
    <r>
      <rPr>
        <sz val="11"/>
        <color rgb="FF000000"/>
        <rFont val="Tahoma"/>
      </rPr>
      <t xml:space="preserve"> </t>
    </r>
    <r>
      <rPr>
        <sz val="11"/>
        <color rgb="FF000000"/>
        <rFont val="宋体"/>
        <charset val="134"/>
      </rPr>
      <t>轰炸</t>
    </r>
  </si>
  <si>
    <r>
      <rPr>
        <sz val="11"/>
        <color rgb="FF000000"/>
        <rFont val="宋体"/>
        <charset val="134"/>
      </rPr>
      <t>水平轰炸</t>
    </r>
    <r>
      <rPr>
        <sz val="11"/>
        <color rgb="FF000000"/>
        <rFont val="Tahoma"/>
      </rPr>
      <t>26</t>
    </r>
  </si>
  <si>
    <r>
      <rPr>
        <sz val="11"/>
        <color rgb="FF000000"/>
        <rFont val="宋体"/>
        <charset val="134"/>
      </rPr>
      <t>零式水侦</t>
    </r>
  </si>
  <si>
    <r>
      <t>99</t>
    </r>
    <r>
      <rPr>
        <sz val="11"/>
        <color rgb="FF000000"/>
        <rFont val="宋体"/>
        <charset val="134"/>
      </rPr>
      <t>舰爆</t>
    </r>
    <r>
      <rPr>
        <sz val="11"/>
        <color rgb="FF000000"/>
        <rFont val="Tahoma"/>
      </rPr>
      <t xml:space="preserve"> </t>
    </r>
    <r>
      <rPr>
        <sz val="11"/>
        <color rgb="FF000000"/>
        <rFont val="宋体"/>
        <charset val="134"/>
      </rPr>
      <t>轰炸</t>
    </r>
  </si>
  <si>
    <r>
      <t xml:space="preserve">SBD </t>
    </r>
    <r>
      <rPr>
        <sz val="11"/>
        <color rgb="FF000000"/>
        <rFont val="宋体"/>
        <charset val="134"/>
      </rPr>
      <t>轰炸</t>
    </r>
  </si>
  <si>
    <r>
      <t>1/</t>
    </r>
    <r>
      <rPr>
        <sz val="11"/>
        <color rgb="FF000000"/>
        <rFont val="宋体"/>
        <charset val="134"/>
      </rPr>
      <t>咬；俯冲轰炸</t>
    </r>
    <r>
      <rPr>
        <sz val="11"/>
        <color rgb="FF000000"/>
        <rFont val="Tahoma"/>
      </rPr>
      <t>12</t>
    </r>
  </si>
  <si>
    <r>
      <t xml:space="preserve">TBF </t>
    </r>
    <r>
      <rPr>
        <sz val="11"/>
        <color rgb="FF000000"/>
        <rFont val="宋体"/>
        <charset val="134"/>
      </rPr>
      <t>鱼雷</t>
    </r>
  </si>
  <si>
    <r>
      <t>1*533</t>
    </r>
    <r>
      <rPr>
        <sz val="11"/>
        <color rgb="FF000000"/>
        <rFont val="宋体"/>
        <charset val="134"/>
      </rPr>
      <t>鱼雷</t>
    </r>
    <r>
      <rPr>
        <sz val="11"/>
        <color rgb="FF000000"/>
        <rFont val="Tahoma"/>
      </rPr>
      <t>21</t>
    </r>
  </si>
  <si>
    <r>
      <t xml:space="preserve">TBF </t>
    </r>
    <r>
      <rPr>
        <sz val="11"/>
        <color rgb="FF000000"/>
        <rFont val="宋体"/>
        <charset val="134"/>
      </rPr>
      <t>反潜</t>
    </r>
  </si>
  <si>
    <r>
      <rPr>
        <sz val="11"/>
        <color rgb="FF000000"/>
        <rFont val="Tahoma"/>
      </rPr>
      <t>4*</t>
    </r>
    <r>
      <rPr>
        <sz val="11"/>
        <color rgb="FF000000"/>
        <rFont val="宋体"/>
        <charset val="134"/>
      </rPr>
      <t>深弹</t>
    </r>
    <r>
      <rPr>
        <sz val="11"/>
        <color rgb="FF000000"/>
        <rFont val="Tahoma"/>
      </rPr>
      <t>8</t>
    </r>
  </si>
  <si>
    <r>
      <rPr>
        <sz val="11"/>
        <color rgb="FF000000"/>
        <rFont val="宋体"/>
        <charset val="134"/>
      </rPr>
      <t>萤火虫</t>
    </r>
    <r>
      <rPr>
        <sz val="11"/>
        <color rgb="FF000000"/>
        <rFont val="Tahoma"/>
      </rPr>
      <t xml:space="preserve">ASMK5 </t>
    </r>
    <r>
      <rPr>
        <sz val="11"/>
        <color rgb="FF000000"/>
        <rFont val="宋体"/>
        <charset val="134"/>
      </rPr>
      <t>轰炸</t>
    </r>
  </si>
  <si>
    <r>
      <t>2/</t>
    </r>
    <r>
      <rPr>
        <sz val="11"/>
        <color rgb="FF000000"/>
        <rFont val="宋体"/>
        <charset val="134"/>
      </rPr>
      <t>咬；俯冲轰炸</t>
    </r>
    <r>
      <rPr>
        <sz val="11"/>
        <color rgb="FF000000"/>
        <rFont val="Tahoma"/>
      </rPr>
      <t>14</t>
    </r>
  </si>
  <si>
    <r>
      <rPr>
        <sz val="11"/>
        <color rgb="FF000000"/>
        <rFont val="宋体"/>
        <charset val="134"/>
      </rPr>
      <t>天山</t>
    </r>
    <r>
      <rPr>
        <sz val="11"/>
        <color rgb="FF000000"/>
        <rFont val="Tahoma"/>
      </rPr>
      <t xml:space="preserve"> </t>
    </r>
    <r>
      <rPr>
        <sz val="11"/>
        <color rgb="FF000000"/>
        <rFont val="宋体"/>
        <charset val="134"/>
      </rPr>
      <t>鱼雷</t>
    </r>
  </si>
  <si>
    <r>
      <t>610</t>
    </r>
    <r>
      <rPr>
        <sz val="11"/>
        <color rgb="FF000000"/>
        <rFont val="宋体"/>
        <charset val="134"/>
      </rPr>
      <t>鱼雷</t>
    </r>
    <r>
      <rPr>
        <sz val="11"/>
        <color rgb="FF000000"/>
        <rFont val="Tahoma"/>
      </rPr>
      <t>24</t>
    </r>
  </si>
  <si>
    <r>
      <rPr>
        <sz val="11"/>
        <color rgb="FF000000"/>
        <rFont val="宋体"/>
        <charset val="134"/>
      </rPr>
      <t>九七舰攻</t>
    </r>
    <r>
      <rPr>
        <sz val="11"/>
        <color rgb="FF000000"/>
        <rFont val="Tahoma"/>
      </rPr>
      <t xml:space="preserve"> </t>
    </r>
    <r>
      <rPr>
        <sz val="11"/>
        <color rgb="FF000000"/>
        <rFont val="宋体"/>
        <charset val="134"/>
      </rPr>
      <t>鱼雷</t>
    </r>
  </si>
  <si>
    <r>
      <t>610</t>
    </r>
    <r>
      <rPr>
        <sz val="11"/>
        <color rgb="FF000000"/>
        <rFont val="宋体"/>
        <charset val="134"/>
      </rPr>
      <t>鱼雷</t>
    </r>
    <r>
      <rPr>
        <sz val="11"/>
        <color rgb="FF000000"/>
        <rFont val="Tahoma"/>
      </rPr>
      <t>21</t>
    </r>
  </si>
  <si>
    <r>
      <rPr>
        <sz val="11"/>
        <color rgb="FF000000"/>
        <rFont val="宋体"/>
        <charset val="134"/>
      </rPr>
      <t>彗星</t>
    </r>
    <r>
      <rPr>
        <sz val="11"/>
        <color rgb="FF000000"/>
        <rFont val="Tahoma"/>
      </rPr>
      <t xml:space="preserve"> </t>
    </r>
    <r>
      <rPr>
        <sz val="11"/>
        <color rgb="FF000000"/>
        <rFont val="宋体"/>
        <charset val="134"/>
      </rPr>
      <t>轰炸</t>
    </r>
  </si>
  <si>
    <r>
      <rPr>
        <sz val="11"/>
        <color rgb="FF000000"/>
        <rFont val="宋体"/>
        <charset val="134"/>
      </rPr>
      <t>俯冲轰炸</t>
    </r>
    <r>
      <rPr>
        <sz val="11"/>
        <color rgb="FF000000"/>
        <rFont val="Tahoma"/>
      </rPr>
      <t>18</t>
    </r>
  </si>
  <si>
    <r>
      <t>F6F</t>
    </r>
    <r>
      <rPr>
        <sz val="11"/>
        <color rgb="FF000000"/>
        <rFont val="宋体"/>
        <charset val="134"/>
      </rPr>
      <t>地狱猫</t>
    </r>
    <r>
      <rPr>
        <sz val="11"/>
        <color rgb="FF000000"/>
        <rFont val="Tahoma"/>
      </rPr>
      <t xml:space="preserve"> </t>
    </r>
    <r>
      <rPr>
        <sz val="11"/>
        <color rgb="FF000000"/>
        <rFont val="宋体"/>
        <charset val="134"/>
      </rPr>
      <t>火箭弹</t>
    </r>
  </si>
  <si>
    <r>
      <t>2/</t>
    </r>
    <r>
      <rPr>
        <sz val="11"/>
        <color rgb="FF000000"/>
        <rFont val="宋体"/>
        <charset val="134"/>
      </rPr>
      <t>咬；</t>
    </r>
    <r>
      <rPr>
        <sz val="11"/>
        <color rgb="FF000000"/>
        <rFont val="Tahoma"/>
      </rPr>
      <t>6*</t>
    </r>
    <r>
      <rPr>
        <sz val="11"/>
        <color rgb="FF000000"/>
        <rFont val="宋体"/>
        <charset val="134"/>
      </rPr>
      <t>火箭弹</t>
    </r>
    <r>
      <rPr>
        <sz val="11"/>
        <color rgb="FF000000"/>
        <rFont val="Tahoma"/>
      </rPr>
      <t>6</t>
    </r>
  </si>
  <si>
    <r>
      <rPr>
        <sz val="11"/>
        <color rgb="FF000000"/>
        <rFont val="宋体"/>
        <charset val="134"/>
      </rPr>
      <t>海喷火</t>
    </r>
  </si>
  <si>
    <r>
      <rPr>
        <sz val="11"/>
        <color rgb="FF000000"/>
        <rFont val="宋体"/>
        <charset val="134"/>
      </rPr>
      <t>零战五二型</t>
    </r>
  </si>
  <si>
    <r>
      <t>F4F</t>
    </r>
    <r>
      <rPr>
        <sz val="11"/>
        <color rgb="FF000000"/>
        <rFont val="宋体"/>
        <charset val="134"/>
      </rPr>
      <t>野猫</t>
    </r>
  </si>
  <si>
    <r>
      <t>F4U</t>
    </r>
    <r>
      <rPr>
        <sz val="11"/>
        <color rgb="FF000000"/>
        <rFont val="宋体"/>
        <charset val="134"/>
      </rPr>
      <t>冰激凌</t>
    </r>
  </si>
  <si>
    <r>
      <t>F4U</t>
    </r>
    <r>
      <rPr>
        <sz val="11"/>
        <color rgb="FF000000"/>
        <rFont val="宋体"/>
        <charset val="134"/>
      </rPr>
      <t>海盗</t>
    </r>
  </si>
  <si>
    <r>
      <t>3/</t>
    </r>
    <r>
      <rPr>
        <sz val="11"/>
        <color rgb="FF000000"/>
        <rFont val="宋体"/>
        <charset val="134"/>
      </rPr>
      <t>咬；</t>
    </r>
    <r>
      <rPr>
        <sz val="11"/>
        <color rgb="FF000000"/>
        <rFont val="Tahoma"/>
      </rPr>
      <t>6*</t>
    </r>
    <r>
      <rPr>
        <sz val="11"/>
        <color rgb="FF000000"/>
        <rFont val="宋体"/>
        <charset val="134"/>
      </rPr>
      <t>火箭弹</t>
    </r>
    <r>
      <rPr>
        <sz val="11"/>
        <color rgb="FF000000"/>
        <rFont val="Tahoma"/>
      </rPr>
      <t>6</t>
    </r>
  </si>
  <si>
    <r>
      <t xml:space="preserve">B25 </t>
    </r>
    <r>
      <rPr>
        <sz val="11"/>
        <color rgb="FF000000"/>
        <rFont val="宋体"/>
        <charset val="134"/>
      </rPr>
      <t>轰炸</t>
    </r>
  </si>
  <si>
    <r>
      <rPr>
        <sz val="11"/>
        <color rgb="FF000000"/>
        <rFont val="宋体"/>
        <charset val="134"/>
      </rPr>
      <t>水平轰炸</t>
    </r>
    <r>
      <rPr>
        <sz val="11"/>
        <color rgb="FF000000"/>
        <rFont val="Tahoma"/>
      </rPr>
      <t>30</t>
    </r>
  </si>
  <si>
    <r>
      <t xml:space="preserve">XA2J </t>
    </r>
    <r>
      <rPr>
        <sz val="11"/>
        <color rgb="FF000000"/>
        <rFont val="宋体"/>
        <charset val="134"/>
      </rPr>
      <t>轰炸</t>
    </r>
  </si>
  <si>
    <r>
      <rPr>
        <sz val="11"/>
        <color rgb="FF000000"/>
        <rFont val="宋体"/>
        <charset val="134"/>
      </rPr>
      <t>水平轰炸</t>
    </r>
    <r>
      <rPr>
        <sz val="11"/>
        <color rgb="FF000000"/>
        <rFont val="Tahoma"/>
      </rPr>
      <t>46</t>
    </r>
  </si>
  <si>
    <r>
      <rPr>
        <sz val="11"/>
        <color rgb="FF000000"/>
        <rFont val="宋体"/>
        <charset val="134"/>
      </rPr>
      <t>空中海盗</t>
    </r>
    <r>
      <rPr>
        <sz val="11"/>
        <color rgb="FF000000"/>
        <rFont val="Tahoma"/>
      </rPr>
      <t xml:space="preserve"> </t>
    </r>
    <r>
      <rPr>
        <sz val="11"/>
        <color rgb="FF000000"/>
        <rFont val="宋体"/>
        <charset val="134"/>
      </rPr>
      <t>鱼雷</t>
    </r>
  </si>
  <si>
    <r>
      <t>4*533</t>
    </r>
    <r>
      <rPr>
        <sz val="11"/>
        <color rgb="FF000000"/>
        <rFont val="宋体"/>
        <charset val="134"/>
      </rPr>
      <t>鱼雷</t>
    </r>
    <r>
      <rPr>
        <sz val="11"/>
        <color rgb="FF000000"/>
        <rFont val="Tahoma"/>
      </rPr>
      <t>12</t>
    </r>
  </si>
  <si>
    <r>
      <t>F2H</t>
    </r>
    <r>
      <rPr>
        <sz val="11"/>
        <color rgb="FF000000"/>
        <rFont val="宋体"/>
        <charset val="134"/>
      </rPr>
      <t>女妖</t>
    </r>
  </si>
  <si>
    <r>
      <rPr>
        <sz val="11"/>
        <color rgb="FF000000"/>
        <rFont val="宋体"/>
        <charset val="134"/>
      </rPr>
      <t>彩云舰侦</t>
    </r>
  </si>
  <si>
    <t>伤害</t>
  </si>
  <si>
    <r>
      <rPr>
        <sz val="11"/>
        <color rgb="FF000000"/>
        <rFont val="宋体"/>
        <charset val="134"/>
      </rPr>
      <t>上游一号反舰导弹</t>
    </r>
  </si>
  <si>
    <r>
      <rPr>
        <sz val="11"/>
        <color rgb="FF000000"/>
        <rFont val="宋体"/>
        <charset val="134"/>
      </rPr>
      <t>鱼叉反舰导弹</t>
    </r>
  </si>
  <si>
    <r>
      <rPr>
        <sz val="11"/>
        <color rgb="FF000000"/>
        <rFont val="宋体"/>
        <charset val="134"/>
      </rPr>
      <t>小猎犬防空导弹</t>
    </r>
  </si>
  <si>
    <r>
      <rPr>
        <sz val="11"/>
        <color rgb="FF000000"/>
        <rFont val="宋体"/>
        <charset val="134"/>
      </rPr>
      <t>火箭弹</t>
    </r>
  </si>
  <si>
    <r>
      <t>533mm</t>
    </r>
    <r>
      <rPr>
        <sz val="11"/>
        <color rgb="FF000000"/>
        <rFont val="宋体"/>
        <charset val="134"/>
      </rPr>
      <t>常规鱼雷</t>
    </r>
    <r>
      <rPr>
        <sz val="11"/>
        <color rgb="FF000000"/>
        <rFont val="Tahoma"/>
      </rPr>
      <t>G7a</t>
    </r>
    <r>
      <rPr>
        <sz val="11"/>
        <color rgb="FF000000"/>
        <rFont val="宋体"/>
        <charset val="134"/>
      </rPr>
      <t>型</t>
    </r>
  </si>
  <si>
    <r>
      <t>533mm</t>
    </r>
    <r>
      <rPr>
        <sz val="11"/>
        <color rgb="FF000000"/>
        <rFont val="宋体"/>
        <charset val="134"/>
      </rPr>
      <t>磁性鱼雷</t>
    </r>
    <r>
      <rPr>
        <sz val="11"/>
        <color rgb="FF000000"/>
        <rFont val="Tahoma"/>
      </rPr>
      <t>G7a</t>
    </r>
    <r>
      <rPr>
        <sz val="11"/>
        <color rgb="FF000000"/>
        <rFont val="宋体"/>
        <charset val="134"/>
      </rPr>
      <t>型</t>
    </r>
  </si>
  <si>
    <r>
      <t>533mm</t>
    </r>
    <r>
      <rPr>
        <sz val="11"/>
        <color rgb="FF000000"/>
        <rFont val="宋体"/>
        <charset val="134"/>
      </rPr>
      <t>过氧化氢鱼雷</t>
    </r>
    <r>
      <rPr>
        <sz val="11"/>
        <color rgb="FF000000"/>
        <rFont val="Tahoma"/>
      </rPr>
      <t>MK17</t>
    </r>
  </si>
  <si>
    <r>
      <t>610mm</t>
    </r>
    <r>
      <rPr>
        <sz val="11"/>
        <color rgb="FF000000"/>
        <rFont val="宋体"/>
        <charset val="134"/>
      </rPr>
      <t>常规鱼雷九一式</t>
    </r>
  </si>
  <si>
    <r>
      <t>610mm</t>
    </r>
    <r>
      <rPr>
        <sz val="11"/>
        <color rgb="FF000000"/>
        <rFont val="宋体"/>
        <charset val="134"/>
      </rPr>
      <t>氧气鱼雷九三式一型高速</t>
    </r>
  </si>
  <si>
    <r>
      <t>610mm</t>
    </r>
    <r>
      <rPr>
        <sz val="11"/>
        <color rgb="FF000000"/>
        <rFont val="宋体"/>
        <charset val="134"/>
      </rPr>
      <t>氧气鱼雷九三式三型长程</t>
    </r>
  </si>
  <si>
    <r>
      <t>720mm</t>
    </r>
    <r>
      <rPr>
        <sz val="11"/>
        <color rgb="FF000000"/>
        <rFont val="宋体"/>
        <charset val="134"/>
      </rPr>
      <t>常规鱼雷零式</t>
    </r>
  </si>
  <si>
    <r>
      <t>533mm</t>
    </r>
    <r>
      <rPr>
        <sz val="11"/>
        <color rgb="FF000000"/>
        <rFont val="宋体"/>
        <charset val="134"/>
      </rPr>
      <t>常规鱼雷</t>
    </r>
    <r>
      <rPr>
        <sz val="11"/>
        <color rgb="FF000000"/>
        <rFont val="Tahoma"/>
      </rPr>
      <t>mk14</t>
    </r>
  </si>
  <si>
    <r>
      <t>533mm</t>
    </r>
    <r>
      <rPr>
        <sz val="11"/>
        <color rgb="FF000000"/>
        <rFont val="宋体"/>
        <charset val="134"/>
      </rPr>
      <t>过氧化氢鱼雷</t>
    </r>
    <r>
      <rPr>
        <sz val="11"/>
        <color rgb="FF000000"/>
        <rFont val="Tahoma"/>
      </rPr>
      <t>MK16</t>
    </r>
  </si>
  <si>
    <r>
      <t>533mmG7e</t>
    </r>
    <r>
      <rPr>
        <sz val="11"/>
        <color rgb="FF000000"/>
        <rFont val="宋体"/>
        <charset val="134"/>
      </rPr>
      <t>电动磁性鱼雷</t>
    </r>
  </si>
  <si>
    <r>
      <t>533mmG7e</t>
    </r>
    <r>
      <rPr>
        <sz val="11"/>
        <color rgb="FF000000"/>
        <rFont val="宋体"/>
        <charset val="134"/>
      </rPr>
      <t>电动声导鱼雷</t>
    </r>
  </si>
  <si>
    <r>
      <t>533mmG7e</t>
    </r>
    <r>
      <rPr>
        <sz val="11"/>
        <color rgb="FF000000"/>
        <rFont val="宋体"/>
        <charset val="134"/>
      </rPr>
      <t>电动线导鱼雷</t>
    </r>
  </si>
  <si>
    <r>
      <t>533mm</t>
    </r>
    <r>
      <rPr>
        <sz val="11"/>
        <color rgb="FF000000"/>
        <rFont val="宋体"/>
        <charset val="134"/>
      </rPr>
      <t>声导鱼雷</t>
    </r>
    <r>
      <rPr>
        <sz val="11"/>
        <color rgb="FF000000"/>
        <rFont val="Tahoma"/>
      </rPr>
      <t>MK27</t>
    </r>
  </si>
  <si>
    <r>
      <t>530mm</t>
    </r>
    <r>
      <rPr>
        <sz val="11"/>
        <color rgb="FF000000"/>
        <rFont val="宋体"/>
        <charset val="134"/>
      </rPr>
      <t>氧气鱼雷九五式</t>
    </r>
  </si>
  <si>
    <r>
      <t>610</t>
    </r>
    <r>
      <rPr>
        <sz val="11"/>
        <color rgb="FF000000"/>
        <rFont val="宋体"/>
        <charset val="134"/>
      </rPr>
      <t>氧气鱼雷九五式二型</t>
    </r>
  </si>
  <si>
    <t>航速</t>
  </si>
  <si>
    <t>航程</t>
  </si>
  <si>
    <t>cost</t>
    <phoneticPr fontId="4" type="noConversion"/>
  </si>
  <si>
    <t>柴油机</t>
    <phoneticPr fontId="4" type="noConversion"/>
  </si>
  <si>
    <r>
      <t>3</t>
    </r>
    <r>
      <rPr>
        <sz val="11"/>
        <rFont val="Tahoma"/>
        <family val="2"/>
      </rPr>
      <t>0+6</t>
    </r>
    <phoneticPr fontId="4" type="noConversion"/>
  </si>
  <si>
    <r>
      <rPr>
        <sz val="11"/>
        <color rgb="FF000000"/>
        <rFont val="宋体"/>
        <charset val="134"/>
      </rPr>
      <t>舰装提供的</t>
    </r>
    <r>
      <rPr>
        <sz val="11"/>
        <color rgb="FF000000"/>
        <rFont val="Tahoma"/>
      </rPr>
      <t>cost</t>
    </r>
    <r>
      <rPr>
        <sz val="11"/>
        <color rgb="FF000000"/>
        <rFont val="宋体"/>
        <charset val="134"/>
      </rPr>
      <t>，参考值：</t>
    </r>
    <r>
      <rPr>
        <sz val="11"/>
        <color rgb="FF000000"/>
        <rFont val="宋体"/>
        <family val="3"/>
        <charset val="134"/>
      </rPr>
      <t>小型船</t>
    </r>
    <r>
      <rPr>
        <sz val="11"/>
        <color rgb="FF000000"/>
        <rFont val="Tahoma"/>
        <family val="2"/>
      </rPr>
      <t>40</t>
    </r>
    <r>
      <rPr>
        <sz val="11"/>
        <color rgb="FF000000"/>
        <rFont val="宋体"/>
        <family val="3"/>
        <charset val="134"/>
      </rPr>
      <t>，中型船</t>
    </r>
    <r>
      <rPr>
        <sz val="11"/>
        <color rgb="FF000000"/>
        <rFont val="Tahoma"/>
        <family val="2"/>
      </rPr>
      <t>64</t>
    </r>
    <r>
      <rPr>
        <sz val="11"/>
        <color rgb="FF000000"/>
        <rFont val="宋体"/>
        <family val="3"/>
        <charset val="134"/>
      </rPr>
      <t>，大型船</t>
    </r>
    <r>
      <rPr>
        <sz val="11"/>
        <color rgb="FF000000"/>
        <rFont val="Tahoma"/>
        <family val="2"/>
      </rPr>
      <t>96</t>
    </r>
    <phoneticPr fontId="4" type="noConversion"/>
  </si>
  <si>
    <t>小型舰装核心</t>
    <phoneticPr fontId="4" type="noConversion"/>
  </si>
  <si>
    <t>中型舰装核心</t>
    <phoneticPr fontId="4" type="noConversion"/>
  </si>
  <si>
    <t>大型舰装核心</t>
    <phoneticPr fontId="4" type="noConversion"/>
  </si>
  <si>
    <r>
      <rPr>
        <sz val="11"/>
        <color rgb="FF000000"/>
        <rFont val="宋体"/>
        <charset val="134"/>
      </rPr>
      <t>当</t>
    </r>
    <r>
      <rPr>
        <sz val="11"/>
        <color rgb="FF000000"/>
        <rFont val="Tahoma"/>
      </rPr>
      <t>cost</t>
    </r>
    <r>
      <rPr>
        <sz val="11"/>
        <color rgb="FF000000"/>
        <rFont val="宋体"/>
        <charset val="134"/>
      </rPr>
      <t>小于</t>
    </r>
    <r>
      <rPr>
        <sz val="11"/>
        <color rgb="FF000000"/>
        <rFont val="Tahoma"/>
      </rPr>
      <t>0</t>
    </r>
    <r>
      <rPr>
        <sz val="11"/>
        <color rgb="FF000000"/>
        <rFont val="宋体"/>
        <charset val="134"/>
      </rPr>
      <t>。当</t>
    </r>
    <r>
      <rPr>
        <sz val="11"/>
        <color rgb="FF000000"/>
        <rFont val="Tahoma"/>
      </rPr>
      <t>cost</t>
    </r>
    <r>
      <rPr>
        <sz val="11"/>
        <color rgb="FF000000"/>
        <rFont val="宋体"/>
        <charset val="134"/>
      </rPr>
      <t>小于</t>
    </r>
    <r>
      <rPr>
        <sz val="11"/>
        <color rgb="FF000000"/>
        <rFont val="Tahoma"/>
      </rPr>
      <t>-20</t>
    </r>
    <r>
      <rPr>
        <sz val="11"/>
        <color rgb="FF000000"/>
        <rFont val="宋体"/>
        <charset val="134"/>
      </rPr>
      <t>，挖掘疲劳</t>
    </r>
    <r>
      <rPr>
        <sz val="11"/>
        <color rgb="FF000000"/>
        <rFont val="Tahoma"/>
      </rPr>
      <t>I</t>
    </r>
    <r>
      <rPr>
        <sz val="11"/>
        <color rgb="FF000000"/>
        <rFont val="宋体"/>
        <charset val="134"/>
      </rPr>
      <t>。当</t>
    </r>
    <r>
      <rPr>
        <sz val="11"/>
        <color rgb="FF000000"/>
        <rFont val="Tahoma"/>
      </rPr>
      <t>cost</t>
    </r>
    <r>
      <rPr>
        <sz val="11"/>
        <color rgb="FF000000"/>
        <rFont val="宋体"/>
        <charset val="134"/>
      </rPr>
      <t>小于</t>
    </r>
    <r>
      <rPr>
        <sz val="11"/>
        <color rgb="FF000000"/>
        <rFont val="Tahoma"/>
      </rPr>
      <t>-50</t>
    </r>
    <r>
      <rPr>
        <sz val="11"/>
        <color rgb="FF000000"/>
        <rFont val="宋体"/>
        <family val="3"/>
        <charset val="134"/>
      </rPr>
      <t>，</t>
    </r>
    <r>
      <rPr>
        <sz val="11"/>
        <color rgb="FF000000"/>
        <rFont val="宋体"/>
        <charset val="134"/>
      </rPr>
      <t>挖掘疲劳</t>
    </r>
    <r>
      <rPr>
        <sz val="11"/>
        <color rgb="FF000000"/>
        <rFont val="Tahoma"/>
      </rPr>
      <t>III</t>
    </r>
    <r>
      <rPr>
        <sz val="11"/>
        <color rgb="FF000000"/>
        <rFont val="宋体"/>
        <charset val="134"/>
      </rPr>
      <t>虚弱</t>
    </r>
    <r>
      <rPr>
        <sz val="11"/>
        <color rgb="FF000000"/>
        <rFont val="Tahoma"/>
      </rPr>
      <t>II</t>
    </r>
    <r>
      <rPr>
        <sz val="11"/>
        <color rgb="FF000000"/>
        <rFont val="宋体"/>
        <charset val="134"/>
      </rPr>
      <t>。当</t>
    </r>
    <r>
      <rPr>
        <sz val="11"/>
        <color rgb="FF000000"/>
        <rFont val="Tahoma"/>
      </rPr>
      <t>cost</t>
    </r>
    <r>
      <rPr>
        <sz val="11"/>
        <color rgb="FF000000"/>
        <rFont val="宋体"/>
        <charset val="134"/>
      </rPr>
      <t>小于</t>
    </r>
    <r>
      <rPr>
        <sz val="11"/>
        <color rgb="FF000000"/>
        <rFont val="Tahoma"/>
      </rPr>
      <t>-100</t>
    </r>
    <r>
      <rPr>
        <sz val="11"/>
        <color rgb="FF000000"/>
        <rFont val="宋体"/>
        <family val="3"/>
        <charset val="134"/>
      </rPr>
      <t>，</t>
    </r>
    <r>
      <rPr>
        <sz val="11"/>
        <color rgb="FF000000"/>
        <rFont val="宋体"/>
        <charset val="134"/>
      </rPr>
      <t>挖掘疲劳</t>
    </r>
    <r>
      <rPr>
        <sz val="11"/>
        <color rgb="FF000000"/>
        <rFont val="Tahoma"/>
      </rPr>
      <t>III</t>
    </r>
    <r>
      <rPr>
        <sz val="11"/>
        <color rgb="FF000000"/>
        <rFont val="宋体"/>
        <charset val="134"/>
      </rPr>
      <t>剧毒</t>
    </r>
    <r>
      <rPr>
        <sz val="11"/>
        <color rgb="FF000000"/>
        <rFont val="Tahoma"/>
      </rPr>
      <t>II</t>
    </r>
    <r>
      <rPr>
        <sz val="11"/>
        <color rgb="FF000000"/>
        <rFont val="宋体"/>
        <charset val="134"/>
      </rPr>
      <t>。</t>
    </r>
    <phoneticPr fontId="4" type="noConversion"/>
  </si>
  <si>
    <t>cost</t>
    <phoneticPr fontId="4" type="noConversion"/>
  </si>
  <si>
    <r>
      <t>cost(</t>
    </r>
    <r>
      <rPr>
        <sz val="11"/>
        <rFont val="宋体"/>
        <family val="3"/>
        <charset val="134"/>
      </rPr>
      <t>增加）</t>
    </r>
    <phoneticPr fontId="4" type="noConversion"/>
  </si>
  <si>
    <t>弹药口径</t>
    <phoneticPr fontId="4" type="noConversion"/>
  </si>
  <si>
    <t>一份材料提供的材料值</t>
    <phoneticPr fontId="4" type="noConversion"/>
  </si>
  <si>
    <t>制作弹药消耗的材料值</t>
    <phoneticPr fontId="4" type="noConversion"/>
  </si>
  <si>
    <r>
      <rPr>
        <sz val="11"/>
        <color rgb="FF000000"/>
        <rFont val="宋体"/>
        <charset val="134"/>
      </rPr>
      <t>鱼雷类装备</t>
    </r>
    <r>
      <rPr>
        <sz val="11"/>
        <color rgb="FF000000"/>
        <rFont val="Tahoma"/>
      </rPr>
      <t>cost</t>
    </r>
    <r>
      <rPr>
        <sz val="11"/>
        <color rgb="FF000000"/>
        <rFont val="宋体"/>
        <charset val="134"/>
      </rPr>
      <t>通用公式：（</t>
    </r>
    <r>
      <rPr>
        <sz val="11"/>
        <color rgb="FF000000"/>
        <rFont val="Tahoma"/>
      </rPr>
      <t>1+</t>
    </r>
    <r>
      <rPr>
        <sz val="11"/>
        <color rgb="FF000000"/>
        <rFont val="宋体"/>
        <charset val="134"/>
      </rPr>
      <t>联装）</t>
    </r>
    <r>
      <rPr>
        <sz val="11"/>
        <color rgb="FF000000"/>
        <rFont val="Tahoma"/>
      </rPr>
      <t>*</t>
    </r>
    <r>
      <rPr>
        <sz val="11"/>
        <color rgb="FF000000"/>
        <rFont val="宋体"/>
        <charset val="134"/>
      </rPr>
      <t>口径</t>
    </r>
    <r>
      <rPr>
        <sz val="11"/>
        <color rgb="FF000000"/>
        <rFont val="Tahoma"/>
      </rPr>
      <t>^2*0.00</t>
    </r>
    <r>
      <rPr>
        <sz val="11"/>
        <color rgb="FF000000"/>
        <rFont val="Tahoma"/>
        <family val="2"/>
      </rPr>
      <t>2</t>
    </r>
    <r>
      <rPr>
        <sz val="11"/>
        <color rgb="FF000000"/>
        <rFont val="Tahoma"/>
      </rPr>
      <t>,</t>
    </r>
    <r>
      <rPr>
        <sz val="11"/>
        <color rgb="FF000000"/>
        <rFont val="宋体"/>
        <charset val="134"/>
      </rPr>
      <t>若液氧雷则系数变为</t>
    </r>
    <r>
      <rPr>
        <sz val="11"/>
        <color rgb="FF000000"/>
        <rFont val="Tahoma"/>
      </rPr>
      <t>0.00</t>
    </r>
    <r>
      <rPr>
        <sz val="11"/>
        <color rgb="FF000000"/>
        <rFont val="Tahoma"/>
        <family val="2"/>
      </rPr>
      <t>6</t>
    </r>
    <r>
      <rPr>
        <sz val="11"/>
        <color rgb="FF000000"/>
        <rFont val="宋体"/>
        <charset val="134"/>
      </rPr>
      <t>。</t>
    </r>
    <phoneticPr fontId="4" type="noConversion"/>
  </si>
  <si>
    <r>
      <t>40kn=6.4</t>
    </r>
    <r>
      <rPr>
        <sz val="11"/>
        <color rgb="FF000000"/>
        <rFont val="宋体"/>
        <charset val="134"/>
      </rPr>
      <t>格每秒</t>
    </r>
    <phoneticPr fontId="4" type="noConversion"/>
  </si>
  <si>
    <t>潜艇舰装核心</t>
    <phoneticPr fontId="4" type="noConversion"/>
  </si>
  <si>
    <t>空载航速</t>
    <phoneticPr fontId="4" type="noConversion"/>
  </si>
  <si>
    <t>满载航速（cost消耗=cost上限）</t>
    <phoneticPr fontId="4" type="noConversion"/>
  </si>
  <si>
    <t>cost上限</t>
    <phoneticPr fontId="4" type="noConversion"/>
  </si>
  <si>
    <t>玩家血量</t>
    <phoneticPr fontId="4" type="noConversion"/>
  </si>
  <si>
    <t>面板伤害</t>
    <phoneticPr fontId="10" type="noConversion"/>
  </si>
  <si>
    <t>装填时间</t>
    <phoneticPr fontId="10" type="noConversion"/>
  </si>
  <si>
    <t>DPS</t>
  </si>
  <si>
    <r>
      <rPr>
        <sz val="11"/>
        <rFont val="宋体"/>
        <family val="3"/>
        <charset val="134"/>
      </rPr>
      <t>火炮类装备通用装填时间公式：（</t>
    </r>
    <r>
      <rPr>
        <sz val="11"/>
        <rFont val="Tahoma"/>
      </rPr>
      <t>0.5*</t>
    </r>
    <r>
      <rPr>
        <sz val="11"/>
        <rFont val="宋体"/>
        <family val="3"/>
        <charset val="134"/>
      </rPr>
      <t>口径</t>
    </r>
    <r>
      <rPr>
        <sz val="11"/>
        <rFont val="Tahoma"/>
      </rPr>
      <t>-1)*(0.7+0.3*</t>
    </r>
    <r>
      <rPr>
        <sz val="11"/>
        <rFont val="宋体"/>
        <family val="3"/>
        <charset val="134"/>
      </rPr>
      <t>连装数</t>
    </r>
    <r>
      <rPr>
        <sz val="11"/>
        <rFont val="Tahoma"/>
      </rPr>
      <t>)</t>
    </r>
    <phoneticPr fontId="4" type="noConversion"/>
  </si>
  <si>
    <t>火炮口径(mm)</t>
    <phoneticPr fontId="4" type="noConversion"/>
  </si>
  <si>
    <t>火炮口径(英寸)</t>
    <phoneticPr fontId="4" type="noConversion"/>
  </si>
  <si>
    <t>联装数</t>
  </si>
  <si>
    <t>381/380</t>
    <phoneticPr fontId="4" type="noConversion"/>
  </si>
  <si>
    <t>406/410</t>
    <phoneticPr fontId="4" type="noConversion"/>
  </si>
  <si>
    <t>457/460</t>
    <phoneticPr fontId="4" type="noConversion"/>
  </si>
  <si>
    <r>
      <rPr>
        <sz val="10"/>
        <color rgb="FF000000"/>
        <rFont val="宋体"/>
        <family val="3"/>
        <charset val="134"/>
      </rPr>
      <t>火炮类装备</t>
    </r>
    <r>
      <rPr>
        <sz val="10"/>
        <color rgb="FF000000"/>
        <rFont val="Tahoma"/>
        <family val="2"/>
      </rPr>
      <t>cost</t>
    </r>
    <r>
      <rPr>
        <sz val="10"/>
        <color rgb="FF000000"/>
        <rFont val="宋体"/>
        <family val="3"/>
        <charset val="134"/>
      </rPr>
      <t>通用公式：</t>
    </r>
    <r>
      <rPr>
        <sz val="10"/>
        <color rgb="FF000000"/>
        <rFont val="Tahoma"/>
        <family val="2"/>
      </rPr>
      <t>0.04(</t>
    </r>
    <r>
      <rPr>
        <sz val="10"/>
        <color rgb="FF000000"/>
        <rFont val="宋体"/>
        <family val="3"/>
        <charset val="134"/>
      </rPr>
      <t>口径</t>
    </r>
    <r>
      <rPr>
        <sz val="10"/>
        <color rgb="FF000000"/>
        <rFont val="Tahoma"/>
        <family val="2"/>
      </rPr>
      <t>+15)*</t>
    </r>
    <r>
      <rPr>
        <sz val="10"/>
        <color rgb="FF000000"/>
        <rFont val="宋体"/>
        <family val="3"/>
        <charset val="134"/>
      </rPr>
      <t>口径</t>
    </r>
    <r>
      <rPr>
        <sz val="10"/>
        <color rgb="FF000000"/>
        <rFont val="Tahoma"/>
        <family val="2"/>
      </rPr>
      <t>*</t>
    </r>
    <r>
      <rPr>
        <sz val="10"/>
        <color rgb="FF000000"/>
        <rFont val="宋体"/>
        <family val="3"/>
        <charset val="134"/>
      </rPr>
      <t>（联装</t>
    </r>
    <r>
      <rPr>
        <sz val="10"/>
        <color rgb="FF000000"/>
        <rFont val="Tahoma"/>
        <family val="2"/>
      </rPr>
      <t>+1</t>
    </r>
    <r>
      <rPr>
        <sz val="10"/>
        <color rgb="FF000000"/>
        <rFont val="宋体"/>
        <family val="3"/>
        <charset val="134"/>
      </rPr>
      <t>）</t>
    </r>
    <phoneticPr fontId="4" type="noConversion"/>
  </si>
  <si>
    <t>口径以英寸计</t>
  </si>
  <si>
    <r>
      <t>ap</t>
    </r>
    <r>
      <rPr>
        <sz val="11"/>
        <color rgb="FF000000"/>
        <rFont val="宋体"/>
        <charset val="134"/>
      </rPr>
      <t>公式：</t>
    </r>
    <r>
      <rPr>
        <sz val="11"/>
        <color rgb="FF000000"/>
        <rFont val="宋体"/>
        <family val="3"/>
        <charset val="134"/>
      </rPr>
      <t>与弓箭速度损失公式一致，贴脸伤害为面板值，约等于</t>
    </r>
    <r>
      <rPr>
        <sz val="11"/>
        <color rgb="FF000000"/>
        <rFont val="Tahoma"/>
        <family val="2"/>
      </rPr>
      <t>HE</t>
    </r>
    <r>
      <rPr>
        <sz val="11"/>
        <color rgb="FF000000"/>
        <rFont val="宋体"/>
        <family val="3"/>
        <charset val="134"/>
      </rPr>
      <t>伤害的</t>
    </r>
    <r>
      <rPr>
        <sz val="11"/>
        <color rgb="FF000000"/>
        <rFont val="Tahoma"/>
        <family val="2"/>
      </rPr>
      <t>1.3</t>
    </r>
    <r>
      <rPr>
        <sz val="11"/>
        <color rgb="FF000000"/>
        <rFont val="宋体"/>
        <family val="3"/>
        <charset val="134"/>
      </rPr>
      <t>倍</t>
    </r>
    <phoneticPr fontId="4" type="noConversion"/>
  </si>
  <si>
    <r>
      <t>he</t>
    </r>
    <r>
      <rPr>
        <sz val="11"/>
        <color rgb="FF000000"/>
        <rFont val="宋体"/>
        <charset val="134"/>
      </rPr>
      <t>公式：</t>
    </r>
    <r>
      <rPr>
        <sz val="11"/>
        <color rgb="FF000000"/>
        <rFont val="宋体"/>
        <family val="3"/>
        <charset val="134"/>
      </rPr>
      <t>造成爆炸，爆心伤害为面板值，见下表伤害</t>
    </r>
    <phoneticPr fontId="4" type="noConversion"/>
  </si>
  <si>
    <r>
      <rPr>
        <sz val="10"/>
        <rFont val="宋体"/>
        <family val="3"/>
        <charset val="134"/>
      </rPr>
      <t>火炮类装备高爆弹通用伤害公式（单发）</t>
    </r>
    <r>
      <rPr>
        <sz val="10"/>
        <rFont val="Tahoma"/>
        <family val="2"/>
      </rPr>
      <t>0.07*</t>
    </r>
    <r>
      <rPr>
        <sz val="10"/>
        <rFont val="宋体"/>
        <family val="3"/>
        <charset val="134"/>
      </rPr>
      <t>口径</t>
    </r>
    <r>
      <rPr>
        <sz val="10"/>
        <rFont val="Tahoma"/>
        <family val="2"/>
      </rPr>
      <t>*</t>
    </r>
    <r>
      <rPr>
        <sz val="10"/>
        <rFont val="宋体"/>
        <family val="3"/>
        <charset val="134"/>
      </rPr>
      <t>口径</t>
    </r>
    <r>
      <rPr>
        <sz val="10"/>
        <rFont val="Tahoma"/>
        <family val="2"/>
      </rPr>
      <t>+1.2*</t>
    </r>
    <r>
      <rPr>
        <sz val="10"/>
        <rFont val="宋体"/>
        <family val="3"/>
        <charset val="134"/>
      </rPr>
      <t>口径</t>
    </r>
    <r>
      <rPr>
        <sz val="10"/>
        <rFont val="Tahoma"/>
        <family val="2"/>
      </rPr>
      <t>-3</t>
    </r>
    <phoneticPr fontId="10" type="noConversion"/>
  </si>
  <si>
    <t>标准型声呐</t>
    <phoneticPr fontId="4" type="noConversion"/>
  </si>
  <si>
    <t>改良型声呐</t>
    <phoneticPr fontId="4" type="noConversion"/>
  </si>
  <si>
    <t>先进型声呐</t>
    <phoneticPr fontId="4" type="noConversion"/>
  </si>
  <si>
    <t>探测半径24</t>
    <phoneticPr fontId="4" type="noConversion"/>
  </si>
  <si>
    <r>
      <rPr>
        <sz val="11"/>
        <rFont val="宋体"/>
        <family val="3"/>
        <charset val="134"/>
      </rPr>
      <t>探测半径</t>
    </r>
    <r>
      <rPr>
        <sz val="11"/>
        <rFont val="Tahoma"/>
      </rPr>
      <t>3</t>
    </r>
    <r>
      <rPr>
        <sz val="11"/>
        <rFont val="Tahoma"/>
        <family val="2"/>
      </rPr>
      <t>2</t>
    </r>
    <phoneticPr fontId="4" type="noConversion"/>
  </si>
  <si>
    <t>探测半径40</t>
    <phoneticPr fontId="4" type="noConversion"/>
  </si>
  <si>
    <r>
      <rPr>
        <sz val="11"/>
        <color rgb="FF000000"/>
        <rFont val="宋体"/>
        <charset val="134"/>
      </rPr>
      <t>俯冲轰炸</t>
    </r>
    <r>
      <rPr>
        <sz val="11"/>
        <color rgb="FF000000"/>
        <rFont val="Tahoma"/>
      </rPr>
      <t>12</t>
    </r>
    <phoneticPr fontId="4" type="noConversion"/>
  </si>
  <si>
    <t>航程（仅侦察机）</t>
    <phoneticPr fontId="4" type="noConversion"/>
  </si>
  <si>
    <t>-</t>
    <phoneticPr fontId="4" type="noConversion"/>
  </si>
  <si>
    <t>玩家护甲（覆盖原版护甲栏提供）</t>
    <phoneticPr fontId="4" type="noConversion"/>
  </si>
  <si>
    <t>护甲值2</t>
    <phoneticPr fontId="4" type="noConversion"/>
  </si>
  <si>
    <t>护甲值4</t>
    <phoneticPr fontId="4" type="noConversion"/>
  </si>
  <si>
    <t>护甲值6</t>
    <phoneticPr fontId="4" type="noConversion"/>
  </si>
  <si>
    <t>护甲韧性</t>
    <phoneticPr fontId="4" type="noConversion"/>
  </si>
  <si>
    <r>
      <rPr>
        <sz val="11"/>
        <rFont val="宋体"/>
        <family val="3"/>
        <charset val="134"/>
      </rPr>
      <t>保护</t>
    </r>
    <r>
      <rPr>
        <sz val="11"/>
        <rFont val="Tahoma"/>
        <family val="2"/>
      </rPr>
      <t>V</t>
    </r>
    <r>
      <rPr>
        <sz val="11"/>
        <rFont val="Tahoma"/>
      </rPr>
      <t>I</t>
    </r>
    <phoneticPr fontId="4" type="noConversion"/>
  </si>
  <si>
    <t>保护III</t>
    <phoneticPr fontId="4" type="noConversion"/>
  </si>
  <si>
    <t>保护IX</t>
    <phoneticPr fontId="4" type="noConversion"/>
  </si>
  <si>
    <t>航速以属性值计算</t>
    <phoneticPr fontId="4" type="noConversion"/>
  </si>
  <si>
    <t>航速（属性）</t>
    <phoneticPr fontId="4" type="noConversion"/>
  </si>
  <si>
    <t>航速节</t>
    <phoneticPr fontId="4" type="noConversion"/>
  </si>
  <si>
    <t>航速在cost剩余大于等于0时，在空载与满载之间线性取值。小于0时取满载值</t>
    <phoneticPr fontId="4" type="noConversion"/>
  </si>
  <si>
    <t>速度：属性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</si>
</sst>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name val="Tahoma"/>
    </font>
    <font>
      <sz val="11"/>
      <color rgb="FF000000"/>
      <name val="宋体"/>
      <charset val="134"/>
    </font>
    <font>
      <sz val="11"/>
      <color rgb="FF000000"/>
      <name val="Tahoma"/>
      <family val="2"/>
    </font>
    <font>
      <sz val="11"/>
      <color rgb="FF000000"/>
      <name val="Tahoma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Tahoma"/>
      <family val="2"/>
      <charset val="134"/>
    </font>
    <font>
      <sz val="11"/>
      <name val="Tahoma"/>
      <family val="2"/>
    </font>
    <font>
      <sz val="11"/>
      <name val="宋体"/>
      <family val="3"/>
      <charset val="134"/>
    </font>
    <font>
      <sz val="11"/>
      <name val="Tahoma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rgb="FF000000"/>
      <name val="Tahoma"/>
      <family val="2"/>
    </font>
    <font>
      <sz val="10"/>
      <name val="Tahoma"/>
      <family val="2"/>
    </font>
    <font>
      <sz val="10"/>
      <name val="Tahoma"/>
      <family val="3"/>
      <charset val="134"/>
    </font>
    <font>
      <sz val="11"/>
      <name val="Microsoft YaHei U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2" fillId="0" borderId="0" xfId="0" applyFont="1">
      <alignment vertical="center"/>
    </xf>
    <xf numFmtId="0" fontId="15" fillId="0" borderId="0" xfId="0" applyFont="1">
      <alignment vertical="center"/>
    </xf>
    <xf numFmtId="0" fontId="5" fillId="0" borderId="0" xfId="0" applyFont="1">
      <alignment vertical="center"/>
    </xf>
    <xf numFmtId="0" fontId="1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4"/>
  <sheetViews>
    <sheetView tabSelected="1" topLeftCell="A145" zoomScale="85" zoomScaleNormal="85" workbookViewId="0">
      <selection activeCell="F153" sqref="F153"/>
    </sheetView>
  </sheetViews>
  <sheetFormatPr defaultColWidth="10" defaultRowHeight="14" x14ac:dyDescent="0.3"/>
  <cols>
    <col min="1" max="1" width="31.5" customWidth="1"/>
    <col min="2" max="2" width="14.75" customWidth="1"/>
    <col min="3" max="3" width="13.75" customWidth="1"/>
    <col min="4" max="4" width="19.5" customWidth="1"/>
    <col min="5" max="5" width="16.08203125" customWidth="1"/>
    <col min="6" max="6" width="16.5" customWidth="1"/>
    <col min="7" max="7" width="20.58203125" customWidth="1"/>
    <col min="11" max="11" width="15.5" customWidth="1"/>
  </cols>
  <sheetData>
    <row r="1" spans="1:9" x14ac:dyDescent="0.3">
      <c r="A1" s="3" t="s">
        <v>111</v>
      </c>
    </row>
    <row r="2" spans="1:9" x14ac:dyDescent="0.3">
      <c r="A2" s="2" t="s">
        <v>115</v>
      </c>
    </row>
    <row r="4" spans="1:9" x14ac:dyDescent="0.3">
      <c r="A4" s="6" t="s">
        <v>163</v>
      </c>
      <c r="D4" s="5"/>
      <c r="E4" s="6" t="s">
        <v>160</v>
      </c>
    </row>
    <row r="5" spans="1:9" x14ac:dyDescent="0.3">
      <c r="A5" s="6"/>
      <c r="B5" s="6" t="s">
        <v>126</v>
      </c>
      <c r="C5" s="6" t="s">
        <v>125</v>
      </c>
      <c r="D5" s="6" t="s">
        <v>124</v>
      </c>
      <c r="E5" s="6" t="s">
        <v>127</v>
      </c>
      <c r="F5" s="6" t="s">
        <v>152</v>
      </c>
      <c r="G5" s="6" t="s">
        <v>156</v>
      </c>
      <c r="H5" s="6"/>
      <c r="I5" s="6"/>
    </row>
    <row r="6" spans="1:9" x14ac:dyDescent="0.3">
      <c r="A6" s="6" t="s">
        <v>112</v>
      </c>
      <c r="B6">
        <v>40</v>
      </c>
      <c r="C6">
        <v>1.1499999999999999</v>
      </c>
      <c r="D6">
        <v>1.4</v>
      </c>
      <c r="E6">
        <v>20</v>
      </c>
      <c r="F6">
        <v>8</v>
      </c>
      <c r="G6">
        <v>4</v>
      </c>
      <c r="I6" s="6"/>
    </row>
    <row r="7" spans="1:9" x14ac:dyDescent="0.3">
      <c r="A7" s="6" t="s">
        <v>113</v>
      </c>
      <c r="B7">
        <v>64</v>
      </c>
      <c r="C7">
        <v>1</v>
      </c>
      <c r="D7">
        <v>1.2</v>
      </c>
      <c r="E7">
        <v>30</v>
      </c>
      <c r="F7">
        <v>12</v>
      </c>
      <c r="G7">
        <v>8</v>
      </c>
    </row>
    <row r="8" spans="1:9" x14ac:dyDescent="0.3">
      <c r="A8" s="6" t="s">
        <v>114</v>
      </c>
      <c r="B8">
        <v>112</v>
      </c>
      <c r="C8">
        <v>0.85</v>
      </c>
      <c r="D8">
        <v>1</v>
      </c>
      <c r="E8">
        <v>40</v>
      </c>
      <c r="F8">
        <v>16</v>
      </c>
      <c r="G8">
        <v>12</v>
      </c>
    </row>
    <row r="9" spans="1:9" x14ac:dyDescent="0.3">
      <c r="A9" s="6" t="s">
        <v>123</v>
      </c>
      <c r="B9">
        <v>32</v>
      </c>
      <c r="C9">
        <v>0.7</v>
      </c>
      <c r="D9">
        <v>0.8</v>
      </c>
      <c r="E9">
        <v>12</v>
      </c>
      <c r="F9">
        <v>4</v>
      </c>
      <c r="G9">
        <v>0</v>
      </c>
    </row>
    <row r="10" spans="1:9" x14ac:dyDescent="0.3">
      <c r="E10" s="6"/>
    </row>
    <row r="11" spans="1:9" x14ac:dyDescent="0.3">
      <c r="A11" t="s">
        <v>7</v>
      </c>
    </row>
    <row r="13" spans="1:9" x14ac:dyDescent="0.3">
      <c r="A13" s="5" t="s">
        <v>140</v>
      </c>
    </row>
    <row r="14" spans="1:9" x14ac:dyDescent="0.3">
      <c r="A14" s="5" t="s">
        <v>141</v>
      </c>
    </row>
    <row r="15" spans="1:9" x14ac:dyDescent="0.3">
      <c r="A15" s="8" t="s">
        <v>142</v>
      </c>
    </row>
    <row r="16" spans="1:9" x14ac:dyDescent="0.3">
      <c r="A16" s="4" t="s">
        <v>131</v>
      </c>
    </row>
    <row r="17" spans="1:7" x14ac:dyDescent="0.3">
      <c r="A17" s="7" t="s">
        <v>138</v>
      </c>
      <c r="C17" s="6" t="s">
        <v>139</v>
      </c>
      <c r="F17" s="6"/>
    </row>
    <row r="18" spans="1:7" x14ac:dyDescent="0.3">
      <c r="A18" s="6" t="s">
        <v>132</v>
      </c>
      <c r="B18" t="s">
        <v>133</v>
      </c>
      <c r="C18" t="s">
        <v>134</v>
      </c>
      <c r="D18" t="s">
        <v>116</v>
      </c>
      <c r="E18" t="s">
        <v>128</v>
      </c>
      <c r="F18" s="6" t="s">
        <v>129</v>
      </c>
      <c r="G18" t="s">
        <v>130</v>
      </c>
    </row>
    <row r="19" spans="1:7" x14ac:dyDescent="0.3">
      <c r="A19" s="6">
        <v>76</v>
      </c>
      <c r="B19">
        <v>3</v>
      </c>
      <c r="C19">
        <v>2</v>
      </c>
      <c r="D19">
        <f t="shared" ref="D19:D43" si="0">(B19+15)*B19*(C19+1)*0.04</f>
        <v>6.48</v>
      </c>
      <c r="E19">
        <f t="shared" ref="E19:E43" si="1">(0.07*B19*B19+1.2*B19-3)</f>
        <v>1.2299999999999995</v>
      </c>
      <c r="F19" s="6">
        <f t="shared" ref="F19:F43" si="2">(0.5*B19-1)*(0.7+0.3*C19)</f>
        <v>0.64999999999999991</v>
      </c>
      <c r="G19">
        <f t="shared" ref="G19:G43" si="3">E19/F19</f>
        <v>1.8923076923076918</v>
      </c>
    </row>
    <row r="20" spans="1:7" x14ac:dyDescent="0.3">
      <c r="A20" s="6">
        <v>127</v>
      </c>
      <c r="B20">
        <v>5</v>
      </c>
      <c r="C20" s="6">
        <v>1</v>
      </c>
      <c r="D20">
        <f t="shared" si="0"/>
        <v>8</v>
      </c>
      <c r="E20">
        <f t="shared" si="1"/>
        <v>4.75</v>
      </c>
      <c r="F20" s="6">
        <f t="shared" si="2"/>
        <v>1.5</v>
      </c>
      <c r="G20">
        <f t="shared" si="3"/>
        <v>3.1666666666666665</v>
      </c>
    </row>
    <row r="21" spans="1:7" x14ac:dyDescent="0.3">
      <c r="A21" s="6">
        <v>127</v>
      </c>
      <c r="B21">
        <v>5</v>
      </c>
      <c r="C21" s="6">
        <v>2</v>
      </c>
      <c r="D21">
        <f t="shared" si="0"/>
        <v>12</v>
      </c>
      <c r="E21">
        <f t="shared" si="1"/>
        <v>4.75</v>
      </c>
      <c r="F21" s="6">
        <f t="shared" si="2"/>
        <v>1.9499999999999997</v>
      </c>
      <c r="G21">
        <f t="shared" si="3"/>
        <v>2.4358974358974361</v>
      </c>
    </row>
    <row r="22" spans="1:7" x14ac:dyDescent="0.3">
      <c r="A22" s="6">
        <v>140</v>
      </c>
      <c r="B22">
        <v>6</v>
      </c>
      <c r="C22">
        <v>1</v>
      </c>
      <c r="D22">
        <f t="shared" si="0"/>
        <v>10.08</v>
      </c>
      <c r="E22">
        <f t="shared" si="1"/>
        <v>6.7199999999999989</v>
      </c>
      <c r="F22" s="6">
        <f t="shared" si="2"/>
        <v>2</v>
      </c>
      <c r="G22">
        <f t="shared" si="3"/>
        <v>3.3599999999999994</v>
      </c>
    </row>
    <row r="23" spans="1:7" x14ac:dyDescent="0.3">
      <c r="A23" s="6">
        <v>152</v>
      </c>
      <c r="B23">
        <v>6</v>
      </c>
      <c r="C23">
        <v>2</v>
      </c>
      <c r="D23">
        <f t="shared" si="0"/>
        <v>15.120000000000001</v>
      </c>
      <c r="E23">
        <f t="shared" si="1"/>
        <v>6.7199999999999989</v>
      </c>
      <c r="F23" s="6">
        <f t="shared" si="2"/>
        <v>2.5999999999999996</v>
      </c>
      <c r="G23">
        <f t="shared" si="3"/>
        <v>2.5846153846153843</v>
      </c>
    </row>
    <row r="24" spans="1:7" x14ac:dyDescent="0.3">
      <c r="A24" s="6">
        <v>152</v>
      </c>
      <c r="B24">
        <v>6</v>
      </c>
      <c r="C24" s="6">
        <v>3</v>
      </c>
      <c r="D24">
        <f t="shared" si="0"/>
        <v>20.16</v>
      </c>
      <c r="E24">
        <f t="shared" si="1"/>
        <v>6.7199999999999989</v>
      </c>
      <c r="F24" s="6">
        <f t="shared" si="2"/>
        <v>3.1999999999999997</v>
      </c>
      <c r="G24">
        <f t="shared" si="3"/>
        <v>2.0999999999999996</v>
      </c>
    </row>
    <row r="25" spans="1:7" x14ac:dyDescent="0.3">
      <c r="A25" s="6">
        <v>180</v>
      </c>
      <c r="B25">
        <v>7</v>
      </c>
      <c r="C25" s="6">
        <v>3</v>
      </c>
      <c r="D25">
        <f t="shared" si="0"/>
        <v>24.64</v>
      </c>
      <c r="E25">
        <f t="shared" si="1"/>
        <v>8.83</v>
      </c>
      <c r="F25" s="6">
        <f t="shared" si="2"/>
        <v>3.9999999999999996</v>
      </c>
      <c r="G25">
        <f t="shared" si="3"/>
        <v>2.2075000000000005</v>
      </c>
    </row>
    <row r="26" spans="1:7" x14ac:dyDescent="0.3">
      <c r="A26" s="6">
        <v>203</v>
      </c>
      <c r="B26">
        <v>8</v>
      </c>
      <c r="C26">
        <v>2</v>
      </c>
      <c r="D26">
        <f t="shared" si="0"/>
        <v>22.080000000000002</v>
      </c>
      <c r="E26">
        <f t="shared" si="1"/>
        <v>11.08</v>
      </c>
      <c r="F26" s="6">
        <f t="shared" si="2"/>
        <v>3.8999999999999995</v>
      </c>
      <c r="G26">
        <f t="shared" si="3"/>
        <v>2.8410256410256416</v>
      </c>
    </row>
    <row r="27" spans="1:7" x14ac:dyDescent="0.3">
      <c r="A27" s="6">
        <v>203</v>
      </c>
      <c r="B27">
        <v>8</v>
      </c>
      <c r="C27">
        <v>3</v>
      </c>
      <c r="D27">
        <f t="shared" si="0"/>
        <v>29.44</v>
      </c>
      <c r="E27">
        <f t="shared" si="1"/>
        <v>11.08</v>
      </c>
      <c r="F27" s="6">
        <f t="shared" si="2"/>
        <v>4.8</v>
      </c>
      <c r="G27">
        <f t="shared" si="3"/>
        <v>2.3083333333333336</v>
      </c>
    </row>
    <row r="28" spans="1:7" x14ac:dyDescent="0.3">
      <c r="A28" s="6">
        <v>254</v>
      </c>
      <c r="B28">
        <v>10</v>
      </c>
      <c r="C28" s="6">
        <v>2</v>
      </c>
      <c r="D28">
        <f t="shared" si="0"/>
        <v>30</v>
      </c>
      <c r="E28">
        <f t="shared" si="1"/>
        <v>16</v>
      </c>
      <c r="F28" s="6">
        <f t="shared" si="2"/>
        <v>5.1999999999999993</v>
      </c>
      <c r="G28">
        <f t="shared" si="3"/>
        <v>3.0769230769230775</v>
      </c>
    </row>
    <row r="29" spans="1:7" x14ac:dyDescent="0.3">
      <c r="A29" s="6">
        <v>280</v>
      </c>
      <c r="B29">
        <v>11</v>
      </c>
      <c r="C29" s="6">
        <v>3</v>
      </c>
      <c r="D29">
        <f t="shared" si="0"/>
        <v>45.76</v>
      </c>
      <c r="E29">
        <f t="shared" si="1"/>
        <v>18.670000000000002</v>
      </c>
      <c r="F29" s="6">
        <f t="shared" si="2"/>
        <v>7.1999999999999993</v>
      </c>
      <c r="G29">
        <f t="shared" si="3"/>
        <v>2.5930555555555559</v>
      </c>
    </row>
    <row r="30" spans="1:7" x14ac:dyDescent="0.3">
      <c r="A30" s="6">
        <v>305</v>
      </c>
      <c r="B30">
        <v>12</v>
      </c>
      <c r="C30">
        <v>3</v>
      </c>
      <c r="D30">
        <f t="shared" si="0"/>
        <v>51.84</v>
      </c>
      <c r="E30">
        <f t="shared" si="1"/>
        <v>21.48</v>
      </c>
      <c r="F30" s="6">
        <f t="shared" si="2"/>
        <v>7.9999999999999991</v>
      </c>
      <c r="G30">
        <f t="shared" si="3"/>
        <v>2.6850000000000005</v>
      </c>
    </row>
    <row r="31" spans="1:7" x14ac:dyDescent="0.3">
      <c r="A31" s="6">
        <v>320</v>
      </c>
      <c r="B31">
        <v>13</v>
      </c>
      <c r="C31">
        <v>3</v>
      </c>
      <c r="D31">
        <f t="shared" si="0"/>
        <v>58.24</v>
      </c>
      <c r="E31">
        <f t="shared" si="1"/>
        <v>24.43</v>
      </c>
      <c r="F31" s="6">
        <f t="shared" si="2"/>
        <v>8.7999999999999989</v>
      </c>
      <c r="G31">
        <f t="shared" si="3"/>
        <v>2.7761363636363638</v>
      </c>
    </row>
    <row r="32" spans="1:7" x14ac:dyDescent="0.3">
      <c r="A32" s="6">
        <v>356</v>
      </c>
      <c r="B32">
        <v>14</v>
      </c>
      <c r="C32" s="6">
        <v>2</v>
      </c>
      <c r="D32">
        <f t="shared" si="0"/>
        <v>48.72</v>
      </c>
      <c r="E32">
        <f t="shared" si="1"/>
        <v>27.520000000000003</v>
      </c>
      <c r="F32" s="6">
        <f t="shared" si="2"/>
        <v>7.7999999999999989</v>
      </c>
      <c r="G32">
        <f t="shared" si="3"/>
        <v>3.528205128205129</v>
      </c>
    </row>
    <row r="33" spans="1:7" x14ac:dyDescent="0.3">
      <c r="A33" s="6">
        <v>356</v>
      </c>
      <c r="B33">
        <v>14</v>
      </c>
      <c r="C33" s="6">
        <v>3</v>
      </c>
      <c r="D33">
        <f t="shared" si="0"/>
        <v>64.960000000000008</v>
      </c>
      <c r="E33">
        <f t="shared" si="1"/>
        <v>27.520000000000003</v>
      </c>
      <c r="F33" s="6">
        <f t="shared" si="2"/>
        <v>9.6</v>
      </c>
      <c r="G33">
        <f t="shared" si="3"/>
        <v>2.8666666666666671</v>
      </c>
    </row>
    <row r="34" spans="1:7" x14ac:dyDescent="0.3">
      <c r="A34" s="6">
        <v>356</v>
      </c>
      <c r="B34">
        <v>14</v>
      </c>
      <c r="C34">
        <v>4</v>
      </c>
      <c r="D34">
        <f t="shared" si="0"/>
        <v>81.2</v>
      </c>
      <c r="E34">
        <f t="shared" si="1"/>
        <v>27.520000000000003</v>
      </c>
      <c r="F34" s="6">
        <f t="shared" si="2"/>
        <v>11.399999999999999</v>
      </c>
      <c r="G34">
        <f t="shared" si="3"/>
        <v>2.4140350877192986</v>
      </c>
    </row>
    <row r="35" spans="1:7" x14ac:dyDescent="0.3">
      <c r="A35" s="6" t="s">
        <v>135</v>
      </c>
      <c r="B35">
        <v>15</v>
      </c>
      <c r="C35">
        <v>2</v>
      </c>
      <c r="D35">
        <f t="shared" si="0"/>
        <v>54</v>
      </c>
      <c r="E35">
        <f t="shared" si="1"/>
        <v>30.75</v>
      </c>
      <c r="F35" s="6">
        <f t="shared" si="2"/>
        <v>8.4499999999999993</v>
      </c>
      <c r="G35">
        <f t="shared" si="3"/>
        <v>3.63905325443787</v>
      </c>
    </row>
    <row r="36" spans="1:7" x14ac:dyDescent="0.3">
      <c r="A36" s="6">
        <v>381</v>
      </c>
      <c r="B36">
        <v>15</v>
      </c>
      <c r="C36" s="6">
        <v>3</v>
      </c>
      <c r="D36">
        <f t="shared" si="0"/>
        <v>72</v>
      </c>
      <c r="E36">
        <f t="shared" si="1"/>
        <v>30.75</v>
      </c>
      <c r="F36" s="6">
        <f t="shared" si="2"/>
        <v>10.399999999999999</v>
      </c>
      <c r="G36">
        <f t="shared" si="3"/>
        <v>2.9567307692307696</v>
      </c>
    </row>
    <row r="37" spans="1:7" x14ac:dyDescent="0.3">
      <c r="A37" s="6" t="s">
        <v>135</v>
      </c>
      <c r="B37">
        <v>15</v>
      </c>
      <c r="C37" s="6">
        <v>4</v>
      </c>
      <c r="D37">
        <f t="shared" si="0"/>
        <v>90</v>
      </c>
      <c r="E37">
        <f t="shared" si="1"/>
        <v>30.75</v>
      </c>
      <c r="F37" s="6">
        <f t="shared" si="2"/>
        <v>12.35</v>
      </c>
      <c r="G37">
        <f t="shared" si="3"/>
        <v>2.4898785425101218</v>
      </c>
    </row>
    <row r="38" spans="1:7" x14ac:dyDescent="0.3">
      <c r="A38" s="6" t="s">
        <v>136</v>
      </c>
      <c r="B38">
        <v>16</v>
      </c>
      <c r="C38">
        <v>2</v>
      </c>
      <c r="D38">
        <f t="shared" si="0"/>
        <v>59.52</v>
      </c>
      <c r="E38">
        <f t="shared" si="1"/>
        <v>34.120000000000005</v>
      </c>
      <c r="F38" s="6">
        <f t="shared" si="2"/>
        <v>9.0999999999999979</v>
      </c>
      <c r="G38">
        <f t="shared" si="3"/>
        <v>3.7494505494505508</v>
      </c>
    </row>
    <row r="39" spans="1:7" x14ac:dyDescent="0.3">
      <c r="A39" s="6">
        <v>406</v>
      </c>
      <c r="B39">
        <v>16</v>
      </c>
      <c r="C39">
        <v>3</v>
      </c>
      <c r="D39">
        <f t="shared" si="0"/>
        <v>79.36</v>
      </c>
      <c r="E39">
        <f t="shared" si="1"/>
        <v>34.120000000000005</v>
      </c>
      <c r="F39" s="6">
        <f t="shared" si="2"/>
        <v>11.2</v>
      </c>
      <c r="G39">
        <f t="shared" si="3"/>
        <v>3.0464285714285722</v>
      </c>
    </row>
    <row r="40" spans="1:7" x14ac:dyDescent="0.3">
      <c r="A40" s="6">
        <v>420</v>
      </c>
      <c r="B40">
        <v>16.5</v>
      </c>
      <c r="C40" s="6">
        <v>2</v>
      </c>
      <c r="D40">
        <f t="shared" si="0"/>
        <v>62.370000000000005</v>
      </c>
      <c r="E40">
        <f t="shared" si="1"/>
        <v>35.857500000000002</v>
      </c>
      <c r="F40" s="6">
        <f t="shared" si="2"/>
        <v>9.4249999999999989</v>
      </c>
      <c r="G40">
        <f t="shared" si="3"/>
        <v>3.8045092838196291</v>
      </c>
    </row>
    <row r="41" spans="1:7" x14ac:dyDescent="0.3">
      <c r="A41" s="6" t="s">
        <v>137</v>
      </c>
      <c r="B41">
        <v>18</v>
      </c>
      <c r="C41" s="6">
        <v>2</v>
      </c>
      <c r="D41">
        <f t="shared" si="0"/>
        <v>71.28</v>
      </c>
      <c r="E41">
        <f t="shared" si="1"/>
        <v>41.28</v>
      </c>
      <c r="F41" s="6">
        <f t="shared" si="2"/>
        <v>10.399999999999999</v>
      </c>
      <c r="G41">
        <f t="shared" si="3"/>
        <v>3.9692307692307698</v>
      </c>
    </row>
    <row r="42" spans="1:7" x14ac:dyDescent="0.3">
      <c r="A42" s="6">
        <v>460</v>
      </c>
      <c r="B42">
        <v>18</v>
      </c>
      <c r="C42">
        <v>3</v>
      </c>
      <c r="D42">
        <f t="shared" si="0"/>
        <v>95.04</v>
      </c>
      <c r="E42">
        <f t="shared" si="1"/>
        <v>41.28</v>
      </c>
      <c r="F42" s="6">
        <f t="shared" si="2"/>
        <v>12.799999999999999</v>
      </c>
      <c r="G42">
        <f t="shared" si="3"/>
        <v>3.2250000000000005</v>
      </c>
    </row>
    <row r="43" spans="1:7" x14ac:dyDescent="0.3">
      <c r="A43" s="6">
        <v>508</v>
      </c>
      <c r="B43">
        <v>20</v>
      </c>
      <c r="C43">
        <v>2</v>
      </c>
      <c r="D43">
        <f t="shared" si="0"/>
        <v>84</v>
      </c>
      <c r="E43">
        <f t="shared" si="1"/>
        <v>49</v>
      </c>
      <c r="F43" s="6">
        <f t="shared" si="2"/>
        <v>11.7</v>
      </c>
      <c r="G43">
        <f t="shared" si="3"/>
        <v>4.1880341880341883</v>
      </c>
    </row>
    <row r="46" spans="1:7" x14ac:dyDescent="0.3">
      <c r="A46" s="3" t="s">
        <v>121</v>
      </c>
      <c r="E46" t="s">
        <v>8</v>
      </c>
      <c r="F46" t="s">
        <v>9</v>
      </c>
      <c r="G46" t="s">
        <v>5</v>
      </c>
    </row>
    <row r="47" spans="1:7" x14ac:dyDescent="0.3">
      <c r="A47" t="s">
        <v>10</v>
      </c>
      <c r="B47" t="s">
        <v>11</v>
      </c>
      <c r="C47" t="s">
        <v>12</v>
      </c>
      <c r="D47" t="s">
        <v>13</v>
      </c>
    </row>
    <row r="48" spans="1:7" x14ac:dyDescent="0.3">
      <c r="A48">
        <v>21</v>
      </c>
      <c r="B48">
        <v>3</v>
      </c>
      <c r="C48">
        <f>1+A48^2*0.002*B48</f>
        <v>3.6459999999999999</v>
      </c>
      <c r="D48">
        <f>1+A48^2*0.006*B48</f>
        <v>8.9379999999999988</v>
      </c>
    </row>
    <row r="49" spans="1:4" x14ac:dyDescent="0.3">
      <c r="A49">
        <v>21</v>
      </c>
      <c r="B49">
        <v>4</v>
      </c>
      <c r="C49">
        <f t="shared" ref="C49:C57" si="4">1+A49^2*0.002*B49</f>
        <v>4.5280000000000005</v>
      </c>
      <c r="D49">
        <f t="shared" ref="D49:D57" si="5">1+A49^2*0.008*B49</f>
        <v>15.112</v>
      </c>
    </row>
    <row r="50" spans="1:4" x14ac:dyDescent="0.3">
      <c r="A50">
        <v>21</v>
      </c>
      <c r="B50">
        <v>5</v>
      </c>
      <c r="C50">
        <f t="shared" si="4"/>
        <v>5.41</v>
      </c>
      <c r="D50">
        <f t="shared" si="5"/>
        <v>18.64</v>
      </c>
    </row>
    <row r="51" spans="1:4" x14ac:dyDescent="0.3">
      <c r="A51">
        <v>21</v>
      </c>
      <c r="B51">
        <v>6</v>
      </c>
      <c r="C51">
        <f t="shared" si="4"/>
        <v>6.2919999999999998</v>
      </c>
      <c r="D51">
        <f t="shared" si="5"/>
        <v>22.167999999999999</v>
      </c>
    </row>
    <row r="52" spans="1:4" x14ac:dyDescent="0.3">
      <c r="A52">
        <v>24</v>
      </c>
      <c r="B52">
        <v>3</v>
      </c>
      <c r="C52">
        <f t="shared" si="4"/>
        <v>4.4560000000000004</v>
      </c>
      <c r="D52">
        <f t="shared" si="5"/>
        <v>14.824000000000002</v>
      </c>
    </row>
    <row r="53" spans="1:4" x14ac:dyDescent="0.3">
      <c r="A53">
        <v>24</v>
      </c>
      <c r="B53">
        <v>4</v>
      </c>
      <c r="C53">
        <f t="shared" si="4"/>
        <v>5.6080000000000005</v>
      </c>
      <c r="D53">
        <f t="shared" si="5"/>
        <v>19.432000000000002</v>
      </c>
    </row>
    <row r="54" spans="1:4" x14ac:dyDescent="0.3">
      <c r="A54">
        <v>24</v>
      </c>
      <c r="B54">
        <v>5</v>
      </c>
      <c r="C54">
        <f t="shared" si="4"/>
        <v>6.7600000000000007</v>
      </c>
      <c r="D54">
        <f t="shared" si="5"/>
        <v>24.040000000000003</v>
      </c>
    </row>
    <row r="55" spans="1:4" x14ac:dyDescent="0.3">
      <c r="A55">
        <v>24</v>
      </c>
      <c r="B55">
        <v>6</v>
      </c>
      <c r="C55">
        <f t="shared" si="4"/>
        <v>7.9120000000000008</v>
      </c>
      <c r="D55">
        <f t="shared" si="5"/>
        <v>28.648000000000003</v>
      </c>
    </row>
    <row r="56" spans="1:4" x14ac:dyDescent="0.3">
      <c r="A56">
        <v>28</v>
      </c>
      <c r="B56">
        <v>3</v>
      </c>
      <c r="C56">
        <f t="shared" si="4"/>
        <v>5.7040000000000006</v>
      </c>
      <c r="D56">
        <f t="shared" si="5"/>
        <v>19.816000000000003</v>
      </c>
    </row>
    <row r="57" spans="1:4" x14ac:dyDescent="0.3">
      <c r="A57">
        <v>28</v>
      </c>
      <c r="B57">
        <v>4</v>
      </c>
      <c r="C57">
        <f t="shared" si="4"/>
        <v>7.2720000000000002</v>
      </c>
      <c r="D57">
        <f t="shared" si="5"/>
        <v>26.088000000000001</v>
      </c>
    </row>
    <row r="59" spans="1:4" x14ac:dyDescent="0.25">
      <c r="A59" t="s">
        <v>14</v>
      </c>
      <c r="B59" t="s">
        <v>4</v>
      </c>
      <c r="D59" s="1" t="s">
        <v>86</v>
      </c>
    </row>
    <row r="60" spans="1:4" x14ac:dyDescent="0.3">
      <c r="A60" t="s">
        <v>15</v>
      </c>
      <c r="B60">
        <v>25</v>
      </c>
      <c r="C60" t="s">
        <v>87</v>
      </c>
      <c r="D60" s="5" t="s">
        <v>110</v>
      </c>
    </row>
    <row r="61" spans="1:4" x14ac:dyDescent="0.3">
      <c r="A61" t="s">
        <v>6</v>
      </c>
      <c r="B61">
        <v>22</v>
      </c>
      <c r="C61" t="s">
        <v>88</v>
      </c>
      <c r="D61">
        <v>24</v>
      </c>
    </row>
    <row r="62" spans="1:4" x14ac:dyDescent="0.3">
      <c r="A62" t="s">
        <v>16</v>
      </c>
      <c r="B62">
        <v>14</v>
      </c>
      <c r="C62" t="s">
        <v>89</v>
      </c>
      <c r="D62">
        <v>9</v>
      </c>
    </row>
    <row r="63" spans="1:4" x14ac:dyDescent="0.3">
      <c r="A63" t="s">
        <v>17</v>
      </c>
      <c r="B63">
        <v>32</v>
      </c>
      <c r="C63" t="s">
        <v>90</v>
      </c>
      <c r="D63">
        <v>6</v>
      </c>
    </row>
    <row r="64" spans="1:4" x14ac:dyDescent="0.3">
      <c r="A64" t="s">
        <v>18</v>
      </c>
      <c r="B64">
        <v>7</v>
      </c>
    </row>
    <row r="65" spans="1:4" x14ac:dyDescent="0.3">
      <c r="A65" t="s">
        <v>19</v>
      </c>
      <c r="B65">
        <v>6</v>
      </c>
    </row>
    <row r="67" spans="1:4" x14ac:dyDescent="0.3">
      <c r="A67" t="s">
        <v>20</v>
      </c>
      <c r="B67" t="s">
        <v>21</v>
      </c>
    </row>
    <row r="69" spans="1:4" x14ac:dyDescent="0.3">
      <c r="A69" t="s">
        <v>22</v>
      </c>
      <c r="B69" s="5" t="s">
        <v>117</v>
      </c>
      <c r="C69" s="6"/>
    </row>
    <row r="70" spans="1:4" x14ac:dyDescent="0.3">
      <c r="A70" t="s">
        <v>23</v>
      </c>
      <c r="B70">
        <v>5</v>
      </c>
    </row>
    <row r="71" spans="1:4" x14ac:dyDescent="0.3">
      <c r="A71" t="s">
        <v>24</v>
      </c>
      <c r="B71">
        <v>10</v>
      </c>
    </row>
    <row r="72" spans="1:4" x14ac:dyDescent="0.3">
      <c r="A72" t="s">
        <v>25</v>
      </c>
      <c r="B72">
        <v>15</v>
      </c>
    </row>
    <row r="73" spans="1:4" x14ac:dyDescent="0.3">
      <c r="A73" t="s">
        <v>26</v>
      </c>
      <c r="B73">
        <v>20</v>
      </c>
    </row>
    <row r="74" spans="1:4" x14ac:dyDescent="0.3">
      <c r="A74" s="6" t="s">
        <v>109</v>
      </c>
      <c r="B74">
        <v>2</v>
      </c>
    </row>
    <row r="75" spans="1:4" x14ac:dyDescent="0.3">
      <c r="A75" s="6"/>
      <c r="B75" s="5" t="s">
        <v>108</v>
      </c>
    </row>
    <row r="76" spans="1:4" x14ac:dyDescent="0.3">
      <c r="A76" t="s">
        <v>27</v>
      </c>
      <c r="B76">
        <v>10</v>
      </c>
      <c r="C76" s="6" t="s">
        <v>153</v>
      </c>
      <c r="D76" s="6" t="s">
        <v>158</v>
      </c>
    </row>
    <row r="77" spans="1:4" x14ac:dyDescent="0.3">
      <c r="A77" t="s">
        <v>28</v>
      </c>
      <c r="B77">
        <v>20</v>
      </c>
      <c r="C77" s="6" t="s">
        <v>154</v>
      </c>
      <c r="D77" s="4" t="s">
        <v>157</v>
      </c>
    </row>
    <row r="78" spans="1:4" x14ac:dyDescent="0.3">
      <c r="A78" t="s">
        <v>29</v>
      </c>
      <c r="B78">
        <v>30</v>
      </c>
      <c r="C78" s="6" t="s">
        <v>155</v>
      </c>
      <c r="D78" s="6" t="s">
        <v>159</v>
      </c>
    </row>
    <row r="79" spans="1:4" x14ac:dyDescent="0.3">
      <c r="A79" t="s">
        <v>30</v>
      </c>
      <c r="B79">
        <v>0</v>
      </c>
    </row>
    <row r="80" spans="1:4" x14ac:dyDescent="0.3">
      <c r="A80" t="s">
        <v>31</v>
      </c>
      <c r="B80">
        <v>0</v>
      </c>
    </row>
    <row r="81" spans="1:4" x14ac:dyDescent="0.3">
      <c r="A81" t="s">
        <v>32</v>
      </c>
      <c r="B81">
        <v>0</v>
      </c>
    </row>
    <row r="82" spans="1:4" x14ac:dyDescent="0.3">
      <c r="A82" t="s">
        <v>33</v>
      </c>
      <c r="B82">
        <v>0.3</v>
      </c>
    </row>
    <row r="83" spans="1:4" x14ac:dyDescent="0.3">
      <c r="A83" t="s">
        <v>34</v>
      </c>
      <c r="B83">
        <v>12</v>
      </c>
    </row>
    <row r="84" spans="1:4" x14ac:dyDescent="0.3">
      <c r="A84" t="s">
        <v>35</v>
      </c>
      <c r="B84">
        <v>1</v>
      </c>
    </row>
    <row r="85" spans="1:4" x14ac:dyDescent="0.3">
      <c r="A85" t="s">
        <v>36</v>
      </c>
      <c r="B85">
        <v>1</v>
      </c>
    </row>
    <row r="86" spans="1:4" x14ac:dyDescent="0.3">
      <c r="A86" t="s">
        <v>37</v>
      </c>
      <c r="B86">
        <v>6</v>
      </c>
    </row>
    <row r="87" spans="1:4" x14ac:dyDescent="0.3">
      <c r="A87" t="s">
        <v>38</v>
      </c>
      <c r="B87">
        <v>3</v>
      </c>
    </row>
    <row r="88" spans="1:4" x14ac:dyDescent="0.3">
      <c r="A88" s="6" t="s">
        <v>143</v>
      </c>
      <c r="B88">
        <v>2</v>
      </c>
      <c r="D88" s="6" t="s">
        <v>146</v>
      </c>
    </row>
    <row r="89" spans="1:4" x14ac:dyDescent="0.3">
      <c r="A89" s="6" t="s">
        <v>144</v>
      </c>
      <c r="B89">
        <v>3</v>
      </c>
      <c r="D89" s="4" t="s">
        <v>147</v>
      </c>
    </row>
    <row r="90" spans="1:4" x14ac:dyDescent="0.3">
      <c r="A90" s="6" t="s">
        <v>145</v>
      </c>
      <c r="B90">
        <v>5</v>
      </c>
      <c r="D90" s="6" t="s">
        <v>148</v>
      </c>
    </row>
    <row r="92" spans="1:4" x14ac:dyDescent="0.3">
      <c r="A92" t="s">
        <v>39</v>
      </c>
      <c r="B92">
        <v>2</v>
      </c>
    </row>
    <row r="93" spans="1:4" x14ac:dyDescent="0.3">
      <c r="A93" t="s">
        <v>40</v>
      </c>
      <c r="B93">
        <v>3</v>
      </c>
    </row>
    <row r="94" spans="1:4" x14ac:dyDescent="0.3">
      <c r="A94" t="s">
        <v>41</v>
      </c>
      <c r="B94">
        <v>5</v>
      </c>
    </row>
    <row r="97" spans="1:4" x14ac:dyDescent="0.3">
      <c r="A97" s="6" t="s">
        <v>119</v>
      </c>
    </row>
    <row r="98" spans="1:4" x14ac:dyDescent="0.3">
      <c r="A98" s="6" t="s">
        <v>118</v>
      </c>
      <c r="B98" s="6" t="s">
        <v>120</v>
      </c>
      <c r="D98" s="6"/>
    </row>
    <row r="99" spans="1:4" x14ac:dyDescent="0.3">
      <c r="A99">
        <v>3</v>
      </c>
      <c r="B99">
        <v>4</v>
      </c>
    </row>
    <row r="100" spans="1:4" x14ac:dyDescent="0.3">
      <c r="A100">
        <v>4</v>
      </c>
      <c r="B100">
        <v>8</v>
      </c>
    </row>
    <row r="101" spans="1:4" x14ac:dyDescent="0.3">
      <c r="A101">
        <v>5</v>
      </c>
      <c r="B101">
        <v>16</v>
      </c>
    </row>
    <row r="102" spans="1:4" x14ac:dyDescent="0.3">
      <c r="A102">
        <v>6</v>
      </c>
      <c r="B102">
        <v>24</v>
      </c>
    </row>
    <row r="103" spans="1:4" x14ac:dyDescent="0.3">
      <c r="A103">
        <v>7</v>
      </c>
      <c r="B103">
        <v>36</v>
      </c>
    </row>
    <row r="104" spans="1:4" x14ac:dyDescent="0.3">
      <c r="A104">
        <v>8</v>
      </c>
      <c r="B104">
        <v>48</v>
      </c>
    </row>
    <row r="105" spans="1:4" x14ac:dyDescent="0.3">
      <c r="A105">
        <v>9</v>
      </c>
      <c r="B105">
        <v>64</v>
      </c>
    </row>
    <row r="106" spans="1:4" x14ac:dyDescent="0.3">
      <c r="A106">
        <v>10</v>
      </c>
      <c r="B106">
        <v>80</v>
      </c>
    </row>
    <row r="107" spans="1:4" x14ac:dyDescent="0.3">
      <c r="A107">
        <v>11</v>
      </c>
      <c r="B107">
        <v>100</v>
      </c>
    </row>
    <row r="108" spans="1:4" x14ac:dyDescent="0.3">
      <c r="A108">
        <v>12</v>
      </c>
      <c r="B108">
        <v>120</v>
      </c>
    </row>
    <row r="109" spans="1:4" x14ac:dyDescent="0.3">
      <c r="A109">
        <v>14</v>
      </c>
      <c r="B109">
        <v>168</v>
      </c>
    </row>
    <row r="110" spans="1:4" x14ac:dyDescent="0.3">
      <c r="A110">
        <v>15</v>
      </c>
      <c r="B110">
        <v>196</v>
      </c>
    </row>
    <row r="111" spans="1:4" x14ac:dyDescent="0.3">
      <c r="A111">
        <v>16</v>
      </c>
      <c r="B111">
        <v>224</v>
      </c>
    </row>
    <row r="112" spans="1:4" x14ac:dyDescent="0.3">
      <c r="A112">
        <v>18</v>
      </c>
      <c r="B112">
        <v>288</v>
      </c>
    </row>
    <row r="113" spans="1:7" x14ac:dyDescent="0.3">
      <c r="A113">
        <v>20</v>
      </c>
      <c r="B113">
        <v>360</v>
      </c>
    </row>
    <row r="115" spans="1:7" x14ac:dyDescent="0.3">
      <c r="A115" t="s">
        <v>42</v>
      </c>
      <c r="B115" t="s">
        <v>122</v>
      </c>
    </row>
    <row r="119" spans="1:7" ht="16.5" x14ac:dyDescent="0.3">
      <c r="A119" t="s">
        <v>43</v>
      </c>
      <c r="B119" t="s">
        <v>44</v>
      </c>
      <c r="D119" t="s">
        <v>45</v>
      </c>
      <c r="E119" s="9" t="s">
        <v>150</v>
      </c>
      <c r="F119" s="10" t="s">
        <v>162</v>
      </c>
      <c r="G119" s="9" t="s">
        <v>161</v>
      </c>
    </row>
    <row r="120" spans="1:7" x14ac:dyDescent="0.3">
      <c r="A120" t="s">
        <v>46</v>
      </c>
      <c r="B120" t="s">
        <v>47</v>
      </c>
      <c r="D120">
        <v>4</v>
      </c>
      <c r="F120">
        <v>52</v>
      </c>
      <c r="G120">
        <f>F120/40-0.5</f>
        <v>0.8</v>
      </c>
    </row>
    <row r="121" spans="1:7" x14ac:dyDescent="0.3">
      <c r="A121" t="s">
        <v>48</v>
      </c>
      <c r="B121" t="s">
        <v>49</v>
      </c>
      <c r="D121">
        <v>4</v>
      </c>
      <c r="F121">
        <v>52</v>
      </c>
      <c r="G121">
        <f t="shared" ref="G121:G144" si="6">F121/40-0.5</f>
        <v>0.8</v>
      </c>
    </row>
    <row r="122" spans="1:7" x14ac:dyDescent="0.3">
      <c r="A122" t="s">
        <v>50</v>
      </c>
      <c r="B122" t="s">
        <v>51</v>
      </c>
      <c r="D122">
        <v>4</v>
      </c>
      <c r="F122">
        <v>56</v>
      </c>
      <c r="G122">
        <f t="shared" si="6"/>
        <v>0.89999999999999991</v>
      </c>
    </row>
    <row r="123" spans="1:7" x14ac:dyDescent="0.3">
      <c r="A123" t="s">
        <v>52</v>
      </c>
      <c r="B123" t="s">
        <v>53</v>
      </c>
      <c r="D123">
        <v>6</v>
      </c>
      <c r="F123">
        <v>68</v>
      </c>
      <c r="G123">
        <f t="shared" si="6"/>
        <v>1.2</v>
      </c>
    </row>
    <row r="124" spans="1:7" x14ac:dyDescent="0.3">
      <c r="A124" t="s">
        <v>54</v>
      </c>
      <c r="D124">
        <v>4</v>
      </c>
      <c r="E124" s="5">
        <f>25600*0.4</f>
        <v>10240</v>
      </c>
      <c r="F124">
        <v>160</v>
      </c>
      <c r="G124">
        <f t="shared" si="6"/>
        <v>3.5</v>
      </c>
    </row>
    <row r="125" spans="1:7" x14ac:dyDescent="0.3">
      <c r="A125" t="s">
        <v>55</v>
      </c>
      <c r="B125" s="3" t="s">
        <v>149</v>
      </c>
      <c r="D125">
        <v>4</v>
      </c>
      <c r="F125">
        <v>64</v>
      </c>
      <c r="G125">
        <f t="shared" si="6"/>
        <v>1.1000000000000001</v>
      </c>
    </row>
    <row r="126" spans="1:7" x14ac:dyDescent="0.3">
      <c r="A126" t="s">
        <v>56</v>
      </c>
      <c r="B126" t="s">
        <v>57</v>
      </c>
      <c r="D126">
        <v>5</v>
      </c>
      <c r="F126">
        <v>64</v>
      </c>
      <c r="G126">
        <f t="shared" si="6"/>
        <v>1.1000000000000001</v>
      </c>
    </row>
    <row r="127" spans="1:7" x14ac:dyDescent="0.3">
      <c r="A127" t="s">
        <v>58</v>
      </c>
      <c r="B127" t="s">
        <v>59</v>
      </c>
      <c r="D127">
        <v>5</v>
      </c>
      <c r="F127">
        <v>56</v>
      </c>
      <c r="G127">
        <f t="shared" si="6"/>
        <v>0.89999999999999991</v>
      </c>
    </row>
    <row r="128" spans="1:7" x14ac:dyDescent="0.3">
      <c r="A128" t="s">
        <v>60</v>
      </c>
      <c r="B128" t="s">
        <v>61</v>
      </c>
      <c r="D128">
        <v>5</v>
      </c>
      <c r="F128">
        <v>56</v>
      </c>
      <c r="G128">
        <f t="shared" si="6"/>
        <v>0.89999999999999991</v>
      </c>
    </row>
    <row r="129" spans="1:7" x14ac:dyDescent="0.3">
      <c r="A129" t="s">
        <v>62</v>
      </c>
      <c r="B129" t="s">
        <v>63</v>
      </c>
      <c r="D129">
        <v>5</v>
      </c>
      <c r="F129">
        <v>64</v>
      </c>
      <c r="G129">
        <f t="shared" si="6"/>
        <v>1.1000000000000001</v>
      </c>
    </row>
    <row r="130" spans="1:7" x14ac:dyDescent="0.3">
      <c r="A130" t="s">
        <v>64</v>
      </c>
      <c r="B130" t="s">
        <v>65</v>
      </c>
      <c r="D130">
        <v>4</v>
      </c>
      <c r="F130">
        <v>64</v>
      </c>
      <c r="G130">
        <f t="shared" si="6"/>
        <v>1.1000000000000001</v>
      </c>
    </row>
    <row r="131" spans="1:7" x14ac:dyDescent="0.3">
      <c r="A131" t="s">
        <v>66</v>
      </c>
      <c r="B131" t="s">
        <v>67</v>
      </c>
      <c r="D131">
        <v>4</v>
      </c>
      <c r="F131">
        <v>64</v>
      </c>
      <c r="G131">
        <f t="shared" si="6"/>
        <v>1.1000000000000001</v>
      </c>
    </row>
    <row r="132" spans="1:7" x14ac:dyDescent="0.3">
      <c r="A132" t="s">
        <v>68</v>
      </c>
      <c r="B132" t="s">
        <v>69</v>
      </c>
      <c r="D132">
        <v>4</v>
      </c>
      <c r="F132">
        <v>72</v>
      </c>
      <c r="G132">
        <f t="shared" si="6"/>
        <v>1.3</v>
      </c>
    </row>
    <row r="133" spans="1:7" x14ac:dyDescent="0.3">
      <c r="A133" t="s">
        <v>70</v>
      </c>
      <c r="B133" t="s">
        <v>71</v>
      </c>
      <c r="D133">
        <v>6</v>
      </c>
      <c r="F133">
        <v>72</v>
      </c>
      <c r="G133">
        <f t="shared" si="6"/>
        <v>1.3</v>
      </c>
    </row>
    <row r="134" spans="1:7" x14ac:dyDescent="0.3">
      <c r="A134" t="s">
        <v>72</v>
      </c>
      <c r="B134" t="s">
        <v>0</v>
      </c>
      <c r="D134">
        <v>5</v>
      </c>
      <c r="F134">
        <v>80</v>
      </c>
      <c r="G134">
        <f t="shared" si="6"/>
        <v>1.5</v>
      </c>
    </row>
    <row r="135" spans="1:7" x14ac:dyDescent="0.3">
      <c r="A135" t="s">
        <v>73</v>
      </c>
      <c r="B135" t="s">
        <v>1</v>
      </c>
      <c r="D135">
        <v>5</v>
      </c>
      <c r="F135">
        <v>80</v>
      </c>
      <c r="G135">
        <f t="shared" si="6"/>
        <v>1.5</v>
      </c>
    </row>
    <row r="136" spans="1:7" x14ac:dyDescent="0.3">
      <c r="A136" t="s">
        <v>74</v>
      </c>
      <c r="B136" t="s">
        <v>1</v>
      </c>
      <c r="D136">
        <v>5</v>
      </c>
      <c r="F136">
        <v>72</v>
      </c>
      <c r="G136">
        <f t="shared" si="6"/>
        <v>1.3</v>
      </c>
    </row>
    <row r="137" spans="1:7" x14ac:dyDescent="0.3">
      <c r="A137" t="s">
        <v>75</v>
      </c>
      <c r="D137">
        <v>5</v>
      </c>
      <c r="F137" s="5" t="s">
        <v>151</v>
      </c>
      <c r="G137" t="e">
        <f t="shared" si="6"/>
        <v>#VALUE!</v>
      </c>
    </row>
    <row r="138" spans="1:7" x14ac:dyDescent="0.3">
      <c r="A138" t="s">
        <v>76</v>
      </c>
      <c r="B138" t="s">
        <v>77</v>
      </c>
      <c r="D138">
        <v>5</v>
      </c>
      <c r="F138" s="5">
        <v>80</v>
      </c>
      <c r="G138">
        <f t="shared" si="6"/>
        <v>1.5</v>
      </c>
    </row>
    <row r="139" spans="1:7" x14ac:dyDescent="0.3">
      <c r="A139" t="s">
        <v>78</v>
      </c>
      <c r="B139" t="s">
        <v>79</v>
      </c>
      <c r="D139">
        <v>15</v>
      </c>
      <c r="F139" s="5">
        <v>64</v>
      </c>
      <c r="G139">
        <f t="shared" si="6"/>
        <v>1.1000000000000001</v>
      </c>
    </row>
    <row r="140" spans="1:7" x14ac:dyDescent="0.3">
      <c r="A140" t="s">
        <v>80</v>
      </c>
      <c r="B140" t="s">
        <v>81</v>
      </c>
      <c r="D140">
        <v>15</v>
      </c>
      <c r="F140" s="5">
        <v>72</v>
      </c>
      <c r="G140">
        <f t="shared" si="6"/>
        <v>1.3</v>
      </c>
    </row>
    <row r="141" spans="1:7" x14ac:dyDescent="0.3">
      <c r="A141" t="s">
        <v>82</v>
      </c>
      <c r="B141" t="s">
        <v>83</v>
      </c>
      <c r="D141">
        <v>9</v>
      </c>
      <c r="F141" s="5">
        <v>64</v>
      </c>
      <c r="G141">
        <f t="shared" si="6"/>
        <v>1.1000000000000001</v>
      </c>
    </row>
    <row r="142" spans="1:7" x14ac:dyDescent="0.3">
      <c r="A142" t="s">
        <v>84</v>
      </c>
      <c r="B142" t="s">
        <v>2</v>
      </c>
      <c r="D142">
        <v>8</v>
      </c>
      <c r="F142" s="5">
        <v>100</v>
      </c>
      <c r="G142">
        <f t="shared" si="6"/>
        <v>2</v>
      </c>
    </row>
    <row r="143" spans="1:7" x14ac:dyDescent="0.3">
      <c r="A143" t="s">
        <v>3</v>
      </c>
      <c r="D143">
        <v>5</v>
      </c>
      <c r="E143" s="5">
        <f>25600*0.5</f>
        <v>12800</v>
      </c>
      <c r="F143">
        <v>120</v>
      </c>
      <c r="G143">
        <f t="shared" si="6"/>
        <v>2.5</v>
      </c>
    </row>
    <row r="144" spans="1:7" x14ac:dyDescent="0.3">
      <c r="A144" t="s">
        <v>85</v>
      </c>
      <c r="D144">
        <v>5</v>
      </c>
      <c r="E144" s="5">
        <f>25600</f>
        <v>25600</v>
      </c>
      <c r="F144">
        <v>200</v>
      </c>
      <c r="G144">
        <f t="shared" si="6"/>
        <v>4.5</v>
      </c>
    </row>
    <row r="153" spans="1:5" ht="16.5" x14ac:dyDescent="0.25">
      <c r="B153" s="1" t="s">
        <v>86</v>
      </c>
      <c r="C153" s="1" t="s">
        <v>106</v>
      </c>
      <c r="D153" s="1" t="s">
        <v>107</v>
      </c>
      <c r="E153" s="10" t="s">
        <v>164</v>
      </c>
    </row>
    <row r="154" spans="1:5" x14ac:dyDescent="0.3">
      <c r="A154" t="s">
        <v>91</v>
      </c>
      <c r="B154" s="5">
        <f>18*1.5</f>
        <v>27</v>
      </c>
      <c r="C154" s="5">
        <v>57.2</v>
      </c>
      <c r="D154">
        <v>18</v>
      </c>
      <c r="E154">
        <f>C154/80*6.4/5.6</f>
        <v>0.81714285714285728</v>
      </c>
    </row>
    <row r="155" spans="1:5" x14ac:dyDescent="0.3">
      <c r="A155" t="s">
        <v>92</v>
      </c>
      <c r="B155">
        <v>27</v>
      </c>
      <c r="C155">
        <v>57.2</v>
      </c>
      <c r="D155">
        <v>18</v>
      </c>
      <c r="E155">
        <f t="shared" ref="E155:E169" si="7">C155/80*6.4/5.6</f>
        <v>0.81714285714285728</v>
      </c>
    </row>
    <row r="156" spans="1:5" x14ac:dyDescent="0.3">
      <c r="A156" t="s">
        <v>93</v>
      </c>
      <c r="B156">
        <v>55.5</v>
      </c>
      <c r="C156">
        <v>59.8</v>
      </c>
      <c r="D156">
        <v>49</v>
      </c>
      <c r="E156">
        <f t="shared" si="7"/>
        <v>0.85428571428571431</v>
      </c>
    </row>
    <row r="157" spans="1:5" x14ac:dyDescent="0.3">
      <c r="A157" t="s">
        <v>94</v>
      </c>
      <c r="B157">
        <v>49.5</v>
      </c>
      <c r="C157">
        <v>52</v>
      </c>
      <c r="D157">
        <v>30</v>
      </c>
      <c r="E157">
        <f t="shared" si="7"/>
        <v>0.74285714285714288</v>
      </c>
    </row>
    <row r="158" spans="1:5" x14ac:dyDescent="0.3">
      <c r="A158" t="s">
        <v>95</v>
      </c>
      <c r="B158">
        <v>49.5</v>
      </c>
      <c r="C158">
        <v>65</v>
      </c>
      <c r="D158">
        <v>60</v>
      </c>
      <c r="E158">
        <f t="shared" si="7"/>
        <v>0.92857142857142871</v>
      </c>
    </row>
    <row r="159" spans="1:5" x14ac:dyDescent="0.3">
      <c r="A159" t="s">
        <v>96</v>
      </c>
      <c r="B159">
        <v>78</v>
      </c>
      <c r="C159">
        <v>49.399999999999991</v>
      </c>
      <c r="D159">
        <v>90</v>
      </c>
      <c r="E159">
        <f t="shared" si="7"/>
        <v>0.70571428571428574</v>
      </c>
    </row>
    <row r="160" spans="1:5" x14ac:dyDescent="0.3">
      <c r="A160" t="s">
        <v>97</v>
      </c>
      <c r="B160">
        <v>55.5</v>
      </c>
      <c r="C160">
        <v>52</v>
      </c>
      <c r="D160">
        <v>70</v>
      </c>
      <c r="E160">
        <f t="shared" si="7"/>
        <v>0.74285714285714288</v>
      </c>
    </row>
    <row r="161" spans="1:5" x14ac:dyDescent="0.3">
      <c r="C161">
        <v>0</v>
      </c>
      <c r="E161">
        <f t="shared" si="7"/>
        <v>0</v>
      </c>
    </row>
    <row r="162" spans="1:5" x14ac:dyDescent="0.3">
      <c r="A162" t="s">
        <v>98</v>
      </c>
      <c r="B162">
        <v>24</v>
      </c>
      <c r="C162">
        <v>40.300000000000004</v>
      </c>
      <c r="D162">
        <v>25</v>
      </c>
      <c r="E162">
        <f t="shared" si="7"/>
        <v>0.57571428571428573</v>
      </c>
    </row>
    <row r="163" spans="1:5" x14ac:dyDescent="0.3">
      <c r="A163" t="s">
        <v>99</v>
      </c>
      <c r="B163">
        <v>55.5</v>
      </c>
      <c r="C163">
        <v>59.8</v>
      </c>
      <c r="D163">
        <v>47</v>
      </c>
      <c r="E163">
        <f t="shared" si="7"/>
        <v>0.85428571428571431</v>
      </c>
    </row>
    <row r="164" spans="1:5" x14ac:dyDescent="0.3">
      <c r="A164" t="s">
        <v>100</v>
      </c>
      <c r="B164">
        <v>21</v>
      </c>
      <c r="C164">
        <v>46.800000000000004</v>
      </c>
      <c r="D164">
        <v>25</v>
      </c>
      <c r="E164">
        <f t="shared" si="7"/>
        <v>0.66857142857142871</v>
      </c>
    </row>
    <row r="165" spans="1:5" x14ac:dyDescent="0.3">
      <c r="A165" t="s">
        <v>101</v>
      </c>
      <c r="B165">
        <v>21</v>
      </c>
      <c r="C165">
        <v>31.200000000000003</v>
      </c>
      <c r="D165">
        <v>17</v>
      </c>
      <c r="E165">
        <f t="shared" si="7"/>
        <v>0.44571428571428584</v>
      </c>
    </row>
    <row r="166" spans="1:5" x14ac:dyDescent="0.3">
      <c r="A166" t="s">
        <v>102</v>
      </c>
      <c r="B166">
        <v>21</v>
      </c>
      <c r="C166">
        <v>39</v>
      </c>
      <c r="D166">
        <v>15</v>
      </c>
      <c r="E166">
        <f t="shared" si="7"/>
        <v>0.55714285714285716</v>
      </c>
    </row>
    <row r="167" spans="1:5" x14ac:dyDescent="0.3">
      <c r="A167" t="s">
        <v>103</v>
      </c>
      <c r="B167">
        <v>24</v>
      </c>
      <c r="C167">
        <v>46.800000000000004</v>
      </c>
      <c r="D167">
        <v>25</v>
      </c>
      <c r="E167">
        <f t="shared" si="7"/>
        <v>0.66857142857142871</v>
      </c>
    </row>
    <row r="168" spans="1:5" x14ac:dyDescent="0.3">
      <c r="A168" t="s">
        <v>104</v>
      </c>
      <c r="B168">
        <v>39</v>
      </c>
      <c r="C168">
        <v>59.8</v>
      </c>
      <c r="D168">
        <v>23</v>
      </c>
      <c r="E168">
        <f t="shared" si="7"/>
        <v>0.85428571428571431</v>
      </c>
    </row>
    <row r="169" spans="1:5" x14ac:dyDescent="0.3">
      <c r="A169" t="s">
        <v>105</v>
      </c>
      <c r="B169">
        <v>55.5</v>
      </c>
      <c r="C169">
        <v>65</v>
      </c>
      <c r="D169">
        <v>45</v>
      </c>
      <c r="E169">
        <f t="shared" si="7"/>
        <v>0.92857142857142871</v>
      </c>
    </row>
    <row r="173" spans="1:5" x14ac:dyDescent="0.3">
      <c r="A173" s="5"/>
    </row>
    <row r="174" spans="1:5" x14ac:dyDescent="0.3">
      <c r="A174" s="5"/>
    </row>
    <row r="175" spans="1:5" x14ac:dyDescent="0.3">
      <c r="A175" s="5"/>
      <c r="B175" s="5"/>
      <c r="C175" s="5"/>
      <c r="D175" s="5"/>
    </row>
    <row r="176" spans="1:5" x14ac:dyDescent="0.3">
      <c r="A176" s="5"/>
      <c r="B176" s="5"/>
      <c r="C176" s="5"/>
      <c r="D176" s="5"/>
    </row>
    <row r="177" spans="1:4" x14ac:dyDescent="0.3">
      <c r="A177" s="5"/>
      <c r="B177" s="5"/>
      <c r="C177" s="5"/>
      <c r="D177" s="5"/>
    </row>
    <row r="178" spans="1:4" x14ac:dyDescent="0.3">
      <c r="A178" s="5"/>
      <c r="B178" s="5"/>
      <c r="C178" s="5"/>
      <c r="D178" s="5"/>
    </row>
    <row r="179" spans="1:4" x14ac:dyDescent="0.3">
      <c r="A179" s="5"/>
      <c r="B179" s="5"/>
      <c r="C179" s="5"/>
      <c r="D179" s="5"/>
    </row>
    <row r="180" spans="1:4" x14ac:dyDescent="0.3">
      <c r="A180" s="5"/>
      <c r="B180" s="5"/>
      <c r="C180" s="5"/>
      <c r="D180" s="5"/>
    </row>
    <row r="181" spans="1:4" x14ac:dyDescent="0.3">
      <c r="A181" s="5"/>
      <c r="B181" s="5"/>
      <c r="C181" s="5"/>
      <c r="D181" s="5"/>
    </row>
    <row r="182" spans="1:4" x14ac:dyDescent="0.3">
      <c r="A182" s="5"/>
      <c r="B182" s="5"/>
      <c r="C182" s="5"/>
      <c r="D182" s="5"/>
    </row>
    <row r="183" spans="1:4" x14ac:dyDescent="0.3">
      <c r="A183" s="5"/>
      <c r="B183" s="5"/>
      <c r="C183" s="5"/>
      <c r="D183" s="5"/>
    </row>
    <row r="184" spans="1:4" x14ac:dyDescent="0.3">
      <c r="A184" s="5"/>
      <c r="B184" s="5"/>
      <c r="C184" s="5"/>
      <c r="D184" s="5"/>
    </row>
    <row r="185" spans="1:4" x14ac:dyDescent="0.3">
      <c r="A185" s="5"/>
      <c r="B185" s="5"/>
      <c r="C185" s="5"/>
      <c r="D185" s="5"/>
    </row>
    <row r="186" spans="1:4" x14ac:dyDescent="0.3">
      <c r="A186" s="5"/>
      <c r="B186" s="5"/>
      <c r="C186" s="5"/>
      <c r="D186" s="5"/>
    </row>
    <row r="187" spans="1:4" x14ac:dyDescent="0.3">
      <c r="A187" s="5"/>
      <c r="B187" s="5"/>
      <c r="C187" s="5"/>
      <c r="D187" s="5"/>
    </row>
    <row r="188" spans="1:4" x14ac:dyDescent="0.3">
      <c r="A188" s="5"/>
      <c r="B188" s="5"/>
      <c r="C188" s="5"/>
      <c r="D188" s="5"/>
    </row>
    <row r="189" spans="1:4" x14ac:dyDescent="0.3">
      <c r="A189" s="5"/>
      <c r="B189" s="5"/>
      <c r="C189" s="5"/>
      <c r="D189" s="5"/>
    </row>
    <row r="190" spans="1:4" x14ac:dyDescent="0.3">
      <c r="A190" s="5"/>
      <c r="B190" s="5"/>
      <c r="C190" s="5"/>
      <c r="D190" s="5"/>
    </row>
    <row r="191" spans="1:4" x14ac:dyDescent="0.3">
      <c r="A191" s="5"/>
      <c r="B191" s="5"/>
      <c r="C191" s="5"/>
      <c r="D191" s="5"/>
    </row>
    <row r="192" spans="1:4" x14ac:dyDescent="0.3">
      <c r="A192" s="5"/>
      <c r="B192" s="5"/>
      <c r="C192" s="5"/>
      <c r="D192" s="5"/>
    </row>
    <row r="193" spans="1:4" x14ac:dyDescent="0.3">
      <c r="A193" s="5"/>
      <c r="B193" s="5"/>
      <c r="C193" s="5"/>
      <c r="D193" s="5"/>
    </row>
    <row r="194" spans="1:4" x14ac:dyDescent="0.3">
      <c r="A194" s="5"/>
      <c r="B194" s="5"/>
      <c r="C194" s="5"/>
      <c r="D194" s="5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舰船数据表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TEL-AN10</dc:creator>
  <cp:lastModifiedBy>user</cp:lastModifiedBy>
  <dcterms:created xsi:type="dcterms:W3CDTF">2008-09-11T09:22:52Z</dcterms:created>
  <dcterms:modified xsi:type="dcterms:W3CDTF">2026-04-03T09:01:49Z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0491c5e254964ef9a48c8e52c674f536</vt:lpwstr>
  </property>
</Properties>
</file>